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2.xml.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Summary" sheetId="1" state="visible" r:id="rId3"/>
    <sheet name="Comparison" sheetId="2" state="visible" r:id="rId4"/>
    <sheet name="Differences" sheetId="3" state="visible" r:id="rId5"/>
    <sheet name="Round trip" sheetId="4" state="visible" r:id="rId6"/>
  </sheets>
  <definedNames>
    <definedName function="false" hidden="true" localSheetId="1" name="_xlnm._FilterDatabase" vbProcedure="false">Comparison!$A$4:$L$90</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<sst xmlns="http://schemas.openxmlformats.org/spreadsheetml/2006/main" count="897" uniqueCount="399">
  <si>
    <t xml:space="preserve">DM-32UV settings check: dm32.bin vs QDMR vs factory CPS</t>
  </si>
  <si>
    <t xml:space="preserve">Built from the analysis in this chat. Nothing here has been tested on a radio.</t>
  </si>
  <si>
    <t xml:space="preserve">Counts</t>
  </si>
  <si>
    <t xml:space="preserve">Match</t>
  </si>
  <si>
    <t xml:space="preserve">Differs</t>
  </si>
  <si>
    <t xml:space="preserve">Unverified</t>
  </si>
  <si>
    <t xml:space="preserve">Not compared</t>
  </si>
  <si>
    <t xml:space="preserve">Total settings listed</t>
  </si>
  <si>
    <t xml:space="preserve">Share of compared settings that match</t>
  </si>
  <si>
    <t xml:space="preserve">Main findings</t>
  </si>
  <si>
    <t xml:space="preserve">1. The dump is a DfuSe file; the general settings are at address 0x4000. Most settings match the factory CPS values when read with QDMR's offsets (see the counts above).</t>
  </si>
  <si>
    <t xml:space="preserve">2. TOT and Active Wait Time: QDMR reads one step higher than the factory CPS (125 s vs 120 s, 660 ms vs 630 ms).</t>
  </si>
  <si>
    <t xml:space="preserve">3. VOX Level, both mic levels and brightness: the factory CPS shows raw + 1. QDMR rescales the mic levels and brightness to a 1-10 scale, and reads VOX raw 0 as "off".</t>
  </si>
  <si>
    <t xml:space="preserve">4. GPS switch, GPS mode, time zone, Work Mode A/B and Main Channel: QDMR's reading differs from the factory display (see the Differences sheet).</t>
  </si>
  <si>
    <t xml:space="preserve">5. Round trip: for the values QDMR both reads and writes (TOT, VOX, mic levels) the raw byte comes back unchanged (see the Round trip sheet).</t>
  </si>
  <si>
    <t xml:space="preserve">Sources and assumptions</t>
  </si>
  <si>
    <t xml:space="preserve">- Raw bytes: your dm32.bin (394,285 bytes), element at address 0x4000 (4,096 bytes).</t>
  </si>
  <si>
    <t xml:space="preserve">- Offsets and QDMR's decoding rules: QDMR source, lib/dm32uv_codeplug.hh and dm32uv_codeplug.cc (GeneralSettingsElement).</t>
  </si>
  <si>
    <t xml:space="preserve">- Factory CPS values: read from your 12 Optional Features screenshots.</t>
  </si>
  <si>
    <t xml:space="preserve">- Assumption: the factory CPS file and the radio dump describe the same radio state. The many matching values (see the counts above) suggest they do, but this is not proven.</t>
  </si>
  <si>
    <t xml:space="preserve">- Candidate factory rules on the Differences sheet are fitted to one data point each. A second dump with a different value would confirm or reject them.</t>
  </si>
  <si>
    <t xml:space="preserve">- The Result column on the Comparison sheet is my judgment, not a calculation.</t>
  </si>
  <si>
    <t xml:space="preserve">Sheets</t>
  </si>
  <si>
    <t xml:space="preserve">- Comparison: every setting, with raw byte, QDMR reading, factory value and result (filter the Result column).</t>
  </si>
  <si>
    <t xml:space="preserve">- Differences: the settings that disagree, with the rules that explain them.</t>
  </si>
  <si>
    <t xml:space="preserve">- Round trip: whether QDMR changes the value when it reads and writes it back.</t>
  </si>
  <si>
    <t xml:space="preserve">DM-32UV general settings: raw bytes in dm32.bin vs QDMR vs factory CPS</t>
  </si>
  <si>
    <t xml:space="preserve">Offsets are within the general settings block at address 0x4000 of dm32.bin (DfuSe file). Field value is calculated from the raw byte with the bit position and width shown. Result is my judgment from comparing the QDMR reading with the factory screenshot values.</t>
  </si>
  <si>
    <t xml:space="preserve">Factory tab</t>
  </si>
  <si>
    <t xml:space="preserve">Factory setting</t>
  </si>
  <si>
    <t xml:space="preserve">QDMR field</t>
  </si>
  <si>
    <t xml:space="preserve">Byte offset (hex)</t>
  </si>
  <si>
    <t xml:space="preserve">Bit</t>
  </si>
  <si>
    <t xml:space="preserve">Width (bits)</t>
  </si>
  <si>
    <t xml:space="preserve">Raw byte (hex)</t>
  </si>
  <si>
    <t xml:space="preserve">Field value</t>
  </si>
  <si>
    <t xml:space="preserve">QDMR reads as</t>
  </si>
  <si>
    <t xml:space="preserve">Factory CPS shows</t>
  </si>
  <si>
    <t xml:space="preserve">Result</t>
  </si>
  <si>
    <t xml:space="preserve">Note</t>
  </si>
  <si>
    <t xml:space="preserve">Power on/off</t>
  </si>
  <si>
    <t xml:space="preserve">Auto Power Off</t>
  </si>
  <si>
    <t xml:space="preserve">autoPowerOffDelay</t>
  </si>
  <si>
    <t xml:space="preserve">0x1E</t>
  </si>
  <si>
    <t xml:space="preserve">00</t>
  </si>
  <si>
    <t xml:space="preserve">Off</t>
  </si>
  <si>
    <t xml:space="preserve">Power On Interface</t>
  </si>
  <si>
    <t xml:space="preserve">bootDisplay</t>
  </si>
  <si>
    <t xml:space="preserve">0x00</t>
  </si>
  <si>
    <t xml:space="preserve">Image</t>
  </si>
  <si>
    <t xml:space="preserve">Power On Picture</t>
  </si>
  <si>
    <t xml:space="preserve">Power On Display Line 1</t>
  </si>
  <si>
    <t xml:space="preserve">bootMessage1</t>
  </si>
  <si>
    <t xml:space="preserve">0x01</t>
  </si>
  <si>
    <t xml:space="preserve">text</t>
  </si>
  <si>
    <t xml:space="preserve">—</t>
  </si>
  <si>
    <t xml:space="preserve">Welcome</t>
  </si>
  <si>
    <t xml:space="preserve">Text field, 14 characters; read from the dump as text.</t>
  </si>
  <si>
    <t xml:space="preserve">Power On Display Line 2</t>
  </si>
  <si>
    <t xml:space="preserve">bootMessage2</t>
  </si>
  <si>
    <t xml:space="preserve">0x0F</t>
  </si>
  <si>
    <t xml:space="preserve">DM-32UV</t>
  </si>
  <si>
    <t xml:space="preserve">Allow Reset</t>
  </si>
  <si>
    <t xml:space="preserve">mcuReset</t>
  </si>
  <si>
    <t xml:space="preserve">0x1D</t>
  </si>
  <si>
    <t xml:space="preserve">01</t>
  </si>
  <si>
    <t xml:space="preserve">Checked</t>
  </si>
  <si>
    <t xml:space="preserve">Alert Tone</t>
  </si>
  <si>
    <t xml:space="preserve">Analog Roger Tone</t>
  </si>
  <si>
    <t xml:space="preserve">fmRogerTone</t>
  </si>
  <si>
    <t xml:space="preserve">0x21</t>
  </si>
  <si>
    <t xml:space="preserve">40</t>
  </si>
  <si>
    <t xml:space="preserve">Radio Silent</t>
  </si>
  <si>
    <t xml:space="preserve">radioSilent</t>
  </si>
  <si>
    <t xml:space="preserve">0x20</t>
  </si>
  <si>
    <t xml:space="preserve">3E</t>
  </si>
  <si>
    <t xml:space="preserve">Unchecked</t>
  </si>
  <si>
    <t xml:space="preserve">Key Tone</t>
  </si>
  <si>
    <t xml:space="preserve">keyTone</t>
  </si>
  <si>
    <t xml:space="preserve">SMS Alert</t>
  </si>
  <si>
    <t xml:space="preserve">smsTone</t>
  </si>
  <si>
    <t xml:space="preserve">Group Call Tone</t>
  </si>
  <si>
    <t xml:space="preserve">groupCallTone</t>
  </si>
  <si>
    <t xml:space="preserve">Not exported to the YAML by QDMR.</t>
  </si>
  <si>
    <t xml:space="preserve">Private Call Tone</t>
  </si>
  <si>
    <t xml:space="preserve">privateCallTone</t>
  </si>
  <si>
    <t xml:space="preserve">Call End Tone</t>
  </si>
  <si>
    <t xml:space="preserve">eotTone</t>
  </si>
  <si>
    <t xml:space="preserve">Talk Permit Tone</t>
  </si>
  <si>
    <t xml:space="preserve">talkPermitTone</t>
  </si>
  <si>
    <t xml:space="preserve">StartUp Sound</t>
  </si>
  <si>
    <t xml:space="preserve">bootTone</t>
  </si>
  <si>
    <t xml:space="preserve">Voice Prompt</t>
  </si>
  <si>
    <t xml:space="preserve">voicePrompt</t>
  </si>
  <si>
    <t xml:space="preserve">Battery Low</t>
  </si>
  <si>
    <t xml:space="preserve">lowBatteryTone</t>
  </si>
  <si>
    <t xml:space="preserve">Display</t>
  </si>
  <si>
    <t xml:space="preserve">Volume Change Prompt</t>
  </si>
  <si>
    <t xml:space="preserve">showVolumeChange</t>
  </si>
  <si>
    <t xml:space="preserve">0x33</t>
  </si>
  <si>
    <t xml:space="preserve">19</t>
  </si>
  <si>
    <t xml:space="preserve">Time Display</t>
  </si>
  <si>
    <t xml:space="preserve">showClock</t>
  </si>
  <si>
    <t xml:space="preserve">Date Display Format</t>
  </si>
  <si>
    <t xml:space="preserve">dateFormat</t>
  </si>
  <si>
    <t xml:space="preserve">DD/MM/YYYY</t>
  </si>
  <si>
    <t xml:space="preserve">d/m/yyy</t>
  </si>
  <si>
    <t xml:space="preserve">Factory label has a typo (yyy).</t>
  </si>
  <si>
    <t xml:space="preserve">Backlight Brightness</t>
  </si>
  <si>
    <t xml:space="preserve">displayBrightness</t>
  </si>
  <si>
    <t xml:space="preserve">0x30</t>
  </si>
  <si>
    <t xml:space="preserve">04</t>
  </si>
  <si>
    <t xml:space="preserve">8 (scale 1-10)</t>
  </si>
  <si>
    <t xml:space="preserve">5</t>
  </si>
  <si>
    <t xml:space="preserve">See Differences sheet.</t>
  </si>
  <si>
    <t xml:space="preserve">Auto Backlight Duration</t>
  </si>
  <si>
    <t xml:space="preserve">backlightDuration</t>
  </si>
  <si>
    <t xml:space="preserve">0x31</t>
  </si>
  <si>
    <t xml:space="preserve">5 s</t>
  </si>
  <si>
    <t xml:space="preserve">Menu Exit Time[s]</t>
  </si>
  <si>
    <t xml:space="preserve">menuDuration</t>
  </si>
  <si>
    <t xml:space="preserve">0x32</t>
  </si>
  <si>
    <t xml:space="preserve">02</t>
  </si>
  <si>
    <t xml:space="preserve">10 s</t>
  </si>
  <si>
    <t xml:space="preserve">10</t>
  </si>
  <si>
    <t xml:space="preserve">Call Display Color</t>
  </si>
  <si>
    <t xml:space="preserve">callColor</t>
  </si>
  <si>
    <t xml:space="preserve">0x34</t>
  </si>
  <si>
    <t xml:space="preserve">06</t>
  </si>
  <si>
    <t xml:space="preserve">Cyan</t>
  </si>
  <si>
    <t xml:space="preserve">Standby Character Color</t>
  </si>
  <si>
    <t xml:space="preserve">standbyColor</t>
  </si>
  <si>
    <t xml:space="preserve">0x35</t>
  </si>
  <si>
    <t xml:space="preserve">05</t>
  </si>
  <si>
    <t xml:space="preserve">Green</t>
  </si>
  <si>
    <t xml:space="preserve">A Channel Name Color</t>
  </si>
  <si>
    <t xml:space="preserve">channelNameAColor</t>
  </si>
  <si>
    <t xml:space="preserve">0x38</t>
  </si>
  <si>
    <t xml:space="preserve">Orange</t>
  </si>
  <si>
    <t xml:space="preserve">B Channel Name Color</t>
  </si>
  <si>
    <t xml:space="preserve">channelNameBColor</t>
  </si>
  <si>
    <t xml:space="preserve">0x39</t>
  </si>
  <si>
    <t xml:space="preserve">Yellow</t>
  </si>
  <si>
    <t xml:space="preserve">Zone A Color</t>
  </si>
  <si>
    <t xml:space="preserve">zoneNameAColor</t>
  </si>
  <si>
    <t xml:space="preserve">0x3A</t>
  </si>
  <si>
    <t xml:space="preserve">07</t>
  </si>
  <si>
    <t xml:space="preserve">Blue</t>
  </si>
  <si>
    <t xml:space="preserve">Zone B Color</t>
  </si>
  <si>
    <t xml:space="preserve">zoneNameBColor</t>
  </si>
  <si>
    <t xml:space="preserve">0x3B</t>
  </si>
  <si>
    <t xml:space="preserve">03</t>
  </si>
  <si>
    <t xml:space="preserve">Red</t>
  </si>
  <si>
    <t xml:space="preserve">Factory label reads "Read"; taken to be Red.</t>
  </si>
  <si>
    <t xml:space="preserve">GPS</t>
  </si>
  <si>
    <t xml:space="preserve">GPS Switch</t>
  </si>
  <si>
    <t xml:space="preserve">enableGNSS</t>
  </si>
  <si>
    <t xml:space="preserve">0x40</t>
  </si>
  <si>
    <t xml:space="preserve">49</t>
  </si>
  <si>
    <t xml:space="preserve">GPS Mode</t>
  </si>
  <si>
    <t xml:space="preserve">gnssMode</t>
  </si>
  <si>
    <t xml:space="preserve">Beidou</t>
  </si>
  <si>
    <t xml:space="preserve">GPS+BDS</t>
  </si>
  <si>
    <t xml:space="preserve">Time Zone</t>
  </si>
  <si>
    <t xml:space="preserve">timeZone</t>
  </si>
  <si>
    <t xml:space="preserve">0x41</t>
  </si>
  <si>
    <t xml:space="preserve">14</t>
  </si>
  <si>
    <t xml:space="preserve">UTC+9:00</t>
  </si>
  <si>
    <t xml:space="preserve">UTC +8:00</t>
  </si>
  <si>
    <t xml:space="preserve">Measure Period Interval[s]</t>
  </si>
  <si>
    <t xml:space="preserve">posUpdatePeriod</t>
  </si>
  <si>
    <t xml:space="preserve">0x42</t>
  </si>
  <si>
    <t xml:space="preserve">5 min</t>
  </si>
  <si>
    <t xml:space="preserve">Same number; QDMR calls the unit minutes, the factory label says seconds.</t>
  </si>
  <si>
    <t xml:space="preserve">GPS Display Format</t>
  </si>
  <si>
    <t xml:space="preserve">positionFormat</t>
  </si>
  <si>
    <t xml:space="preserve">Degree/Min/Sec</t>
  </si>
  <si>
    <t xml:space="preserve">Record</t>
  </si>
  <si>
    <t xml:space="preserve">Record Switch</t>
  </si>
  <si>
    <t xml:space="preserve">enableRecording</t>
  </si>
  <si>
    <t xml:space="preserve">0x45</t>
  </si>
  <si>
    <t xml:space="preserve">Record Type</t>
  </si>
  <si>
    <t xml:space="preserve">recordMode</t>
  </si>
  <si>
    <t xml:space="preserve">0x43</t>
  </si>
  <si>
    <t xml:space="preserve">Receive</t>
  </si>
  <si>
    <t xml:space="preserve">Receive Record</t>
  </si>
  <si>
    <t xml:space="preserve">Digital</t>
  </si>
  <si>
    <t xml:space="preserve">Call Hold Time[s]</t>
  </si>
  <si>
    <t xml:space="preserve">dmrCallHangTime</t>
  </si>
  <si>
    <t xml:space="preserve">0x61</t>
  </si>
  <si>
    <t xml:space="preserve">2.0 s</t>
  </si>
  <si>
    <t xml:space="preserve">2.0</t>
  </si>
  <si>
    <t xml:space="preserve">Active Wait Time[ms]</t>
  </si>
  <si>
    <t xml:space="preserve">activeWaitTime</t>
  </si>
  <si>
    <t xml:space="preserve">0x62</t>
  </si>
  <si>
    <t xml:space="preserve">0C</t>
  </si>
  <si>
    <t xml:space="preserve">660 ms</t>
  </si>
  <si>
    <t xml:space="preserve">630</t>
  </si>
  <si>
    <t xml:space="preserve">Active Retries Time</t>
  </si>
  <si>
    <t xml:space="preserve">activeReties</t>
  </si>
  <si>
    <t xml:space="preserve">0x63</t>
  </si>
  <si>
    <t xml:space="preserve">3</t>
  </si>
  <si>
    <t xml:space="preserve">Pre-Carrier Time[ms]</t>
  </si>
  <si>
    <t xml:space="preserve">dmrPreambleDur</t>
  </si>
  <si>
    <t xml:space="preserve">0x64</t>
  </si>
  <si>
    <t xml:space="preserve">480 ms</t>
  </si>
  <si>
    <t xml:space="preserve">480</t>
  </si>
  <si>
    <t xml:space="preserve">SMS Format</t>
  </si>
  <si>
    <t xml:space="preserve">smsFormat</t>
  </si>
  <si>
    <t xml:space="preserve">0x65</t>
  </si>
  <si>
    <t xml:space="preserve">2B</t>
  </si>
  <si>
    <t xml:space="preserve">Motorola</t>
  </si>
  <si>
    <t xml:space="preserve">M-SMS</t>
  </si>
  <si>
    <t xml:space="preserve">Remote Monitor Time[s]</t>
  </si>
  <si>
    <t xml:space="preserve">dmrRemoteMonitorDuration</t>
  </si>
  <si>
    <t xml:space="preserve">0x66</t>
  </si>
  <si>
    <t xml:space="preserve">Name Data Format</t>
  </si>
  <si>
    <t xml:space="preserve">dmrTalkerAliasFormat</t>
  </si>
  <si>
    <t xml:space="preserve">0x67</t>
  </si>
  <si>
    <t xml:space="preserve">ISO 8bit</t>
  </si>
  <si>
    <t xml:space="preserve">Send TX Name</t>
  </si>
  <si>
    <t xml:space="preserve">txTalkerAlias</t>
  </si>
  <si>
    <t xml:space="preserve">No</t>
  </si>
  <si>
    <t xml:space="preserve">Name Display Priority</t>
  </si>
  <si>
    <t xml:space="preserve">talkerSource</t>
  </si>
  <si>
    <t xml:space="preserve">Callsign database</t>
  </si>
  <si>
    <t xml:space="preserve">Contact Priority</t>
  </si>
  <si>
    <t xml:space="preserve">Names differ; probably the same setting but not confirmed.</t>
  </si>
  <si>
    <t xml:space="preserve">Radio Disable Decode</t>
  </si>
  <si>
    <t xml:space="preserve">dmrKill</t>
  </si>
  <si>
    <t xml:space="preserve">Remote Monitor Decode</t>
  </si>
  <si>
    <t xml:space="preserve">dmrMonitor</t>
  </si>
  <si>
    <t xml:space="preserve">Call Alert Decode</t>
  </si>
  <si>
    <t xml:space="preserve">dmrRXAlert</t>
  </si>
  <si>
    <t xml:space="preserve">Radio Enable Decode</t>
  </si>
  <si>
    <t xml:space="preserve">dmrReenable</t>
  </si>
  <si>
    <t xml:space="preserve">Radio Check Decode</t>
  </si>
  <si>
    <t xml:space="preserve">dmrRadioCheck</t>
  </si>
  <si>
    <t xml:space="preserve">Missed Call Alert</t>
  </si>
  <si>
    <t xml:space="preserve">missedCallNotification</t>
  </si>
  <si>
    <t xml:space="preserve">Private Call Match</t>
  </si>
  <si>
    <t xml:space="preserve">privateCallMatch</t>
  </si>
  <si>
    <t xml:space="preserve">0x60</t>
  </si>
  <si>
    <t xml:space="preserve">Group Call Match</t>
  </si>
  <si>
    <t xml:space="preserve">groupCallMatch</t>
  </si>
  <si>
    <t xml:space="preserve">Work Mode</t>
  </si>
  <si>
    <t xml:space="preserve">Only Channel Mode</t>
  </si>
  <si>
    <t xml:space="preserve">disableVFOMode</t>
  </si>
  <si>
    <t xml:space="preserve">0x80</t>
  </si>
  <si>
    <t xml:space="preserve">7E</t>
  </si>
  <si>
    <t xml:space="preserve">Work Mode(A)</t>
  </si>
  <si>
    <t xml:space="preserve">vfoModeA</t>
  </si>
  <si>
    <t xml:space="preserve">VFO</t>
  </si>
  <si>
    <t xml:space="preserve">MR</t>
  </si>
  <si>
    <t xml:space="preserve">Work Mode(B)</t>
  </si>
  <si>
    <t xml:space="preserve">vfoModeB</t>
  </si>
  <si>
    <t xml:space="preserve">A Channel Display Mode</t>
  </si>
  <si>
    <t xml:space="preserve">displayModeA</t>
  </si>
  <si>
    <t xml:space="preserve">Channel name</t>
  </si>
  <si>
    <t xml:space="preserve">Channel</t>
  </si>
  <si>
    <t xml:space="preserve">B Channel Display Mode</t>
  </si>
  <si>
    <t xml:space="preserve">displayModeB</t>
  </si>
  <si>
    <t xml:space="preserve">Main Channel Setting</t>
  </si>
  <si>
    <t xml:space="preserve">mainVFO</t>
  </si>
  <si>
    <t xml:space="preserve">B</t>
  </si>
  <si>
    <t xml:space="preserve">A</t>
  </si>
  <si>
    <t xml:space="preserve">Dual Watch Mode</t>
  </si>
  <si>
    <t xml:space="preserve">dualStandbyMode</t>
  </si>
  <si>
    <t xml:space="preserve">Double standby</t>
  </si>
  <si>
    <t xml:space="preserve">Double Wait</t>
  </si>
  <si>
    <t xml:space="preserve">Dual Watch Hang Time[ms]</t>
  </si>
  <si>
    <t xml:space="preserve">dualStandbyHangTime</t>
  </si>
  <si>
    <t xml:space="preserve">0x81</t>
  </si>
  <si>
    <t xml:space="preserve">500 ms</t>
  </si>
  <si>
    <t xml:space="preserve">500</t>
  </si>
  <si>
    <t xml:space="preserve">Other</t>
  </si>
  <si>
    <t xml:space="preserve">Disable All LEDs</t>
  </si>
  <si>
    <t xml:space="preserve">disableLEDs</t>
  </si>
  <si>
    <t xml:space="preserve">0xA4</t>
  </si>
  <si>
    <t xml:space="preserve">36</t>
  </si>
  <si>
    <t xml:space="preserve">Weather Alarm</t>
  </si>
  <si>
    <t xml:space="preserve">weatherAlarm</t>
  </si>
  <si>
    <t xml:space="preserve">TOT[s]</t>
  </si>
  <si>
    <t xml:space="preserve">transmitTimeout</t>
  </si>
  <si>
    <t xml:space="preserve">0xA0</t>
  </si>
  <si>
    <t xml:space="preserve">16</t>
  </si>
  <si>
    <t xml:space="preserve">125 s</t>
  </si>
  <si>
    <t xml:space="preserve">120</t>
  </si>
  <si>
    <t xml:space="preserve">TOT Pre Time[s]</t>
  </si>
  <si>
    <t xml:space="preserve">totReminder</t>
  </si>
  <si>
    <t xml:space="preserve">0xA1</t>
  </si>
  <si>
    <t xml:space="preserve">VOX Level</t>
  </si>
  <si>
    <t xml:space="preserve">voxLevel</t>
  </si>
  <si>
    <t xml:space="preserve">0xA2</t>
  </si>
  <si>
    <t xml:space="preserve">1</t>
  </si>
  <si>
    <t xml:space="preserve">VOX Delay Time[s]</t>
  </si>
  <si>
    <t xml:space="preserve">voxDelay</t>
  </si>
  <si>
    <t xml:space="preserve">0xA3</t>
  </si>
  <si>
    <t xml:space="preserve">0A</t>
  </si>
  <si>
    <t xml:space="preserve">1.0 s</t>
  </si>
  <si>
    <t xml:space="preserve">1.0</t>
  </si>
  <si>
    <t xml:space="preserve">Power Save</t>
  </si>
  <si>
    <t xml:space="preserve">powerSaveMode</t>
  </si>
  <si>
    <t xml:space="preserve">75% off</t>
  </si>
  <si>
    <t xml:space="preserve">1:4</t>
  </si>
  <si>
    <t xml:space="preserve">75% sleep time is taken to be the factory 1:4.</t>
  </si>
  <si>
    <t xml:space="preserve">Tail Noise Reduction</t>
  </si>
  <si>
    <t xml:space="preserve">steMode</t>
  </si>
  <si>
    <t xml:space="preserve">0xA5</t>
  </si>
  <si>
    <t xml:space="preserve">23</t>
  </si>
  <si>
    <t xml:space="preserve">55 Hz</t>
  </si>
  <si>
    <t xml:space="preserve">55Hz</t>
  </si>
  <si>
    <t xml:space="preserve">TBST</t>
  </si>
  <si>
    <t xml:space="preserve">tbstFrequency</t>
  </si>
  <si>
    <t xml:space="preserve">1750 Hz</t>
  </si>
  <si>
    <t xml:space="preserve">1750Hz</t>
  </si>
  <si>
    <t xml:space="preserve">Analog MIC Level</t>
  </si>
  <si>
    <t xml:space="preserve">fmMicLevel</t>
  </si>
  <si>
    <t xml:space="preserve">0xA6</t>
  </si>
  <si>
    <t xml:space="preserve">9 (scale 1-10)</t>
  </si>
  <si>
    <t xml:space="preserve">Digital MIC Level</t>
  </si>
  <si>
    <t xml:space="preserve">dmrMicLevel</t>
  </si>
  <si>
    <t xml:space="preserve">0xA7</t>
  </si>
  <si>
    <t xml:space="preserve">7 (scale 1-10)</t>
  </si>
  <si>
    <t xml:space="preserve">4</t>
  </si>
  <si>
    <t xml:space="preserve">Language</t>
  </si>
  <si>
    <t xml:space="preserve">Greyed in the factory CPS (English).</t>
  </si>
  <si>
    <t xml:space="preserve">VFO Scan</t>
  </si>
  <si>
    <t xml:space="preserve">Scan Recovery Type</t>
  </si>
  <si>
    <t xml:space="preserve">Factory shows Time.</t>
  </si>
  <si>
    <t xml:space="preserve">Scan Freq Upper(VHF)(MHz)</t>
  </si>
  <si>
    <t xml:space="preserve">Factory shows 144.</t>
  </si>
  <si>
    <t xml:space="preserve">Scan Freq Lower(VHF)(MHz)</t>
  </si>
  <si>
    <t xml:space="preserve">Factory shows 148.</t>
  </si>
  <si>
    <t xml:space="preserve">Scan Freq Upper(UHF)(MHz)</t>
  </si>
  <si>
    <t xml:space="preserve">Factory shows 430.</t>
  </si>
  <si>
    <t xml:space="preserve">Scan Freq Lower(UHF)(MHz)</t>
  </si>
  <si>
    <t xml:space="preserve">Factory shows 440.</t>
  </si>
  <si>
    <t xml:space="preserve">Password</t>
  </si>
  <si>
    <t xml:space="preserve">Power-on Password</t>
  </si>
  <si>
    <t xml:space="preserve">Unchecked in the factory CPS. QDMR reads it from a separate password block, not checked here.</t>
  </si>
  <si>
    <t xml:space="preserve">Read Data Password</t>
  </si>
  <si>
    <t xml:space="preserve">Unchecked in the factory CPS. Not in QDMR.</t>
  </si>
  <si>
    <t xml:space="preserve">Write Data Password</t>
  </si>
  <si>
    <t xml:space="preserve">Lone Work</t>
  </si>
  <si>
    <t xml:space="preserve">Unchecked in the factory CPS.</t>
  </si>
  <si>
    <t xml:space="preserve">Response[min]</t>
  </si>
  <si>
    <t xml:space="preserve">Greyed (10) in the factory CPS.</t>
  </si>
  <si>
    <t xml:space="preserve">Reminder Time[s]</t>
  </si>
  <si>
    <t xml:space="preserve">Greyed (Warning) in the factory CPS.</t>
  </si>
  <si>
    <t xml:space="preserve">Select Alert Tone</t>
  </si>
  <si>
    <t xml:space="preserve">Greyed (Tone 1) in the factory CPS.</t>
  </si>
  <si>
    <t xml:space="preserve">Menu</t>
  </si>
  <si>
    <t xml:space="preserve">Menu tab (47 checkboxes)</t>
  </si>
  <si>
    <t xml:space="preserve">All 47 ticked in the factory CPS. QDMR has no offsets for them.</t>
  </si>
  <si>
    <t xml:space="preserve">Where QDMR and the factory CPS disagree</t>
  </si>
  <si>
    <t xml:space="preserve">Numeric settings: the QDMR rule and a candidate factory rule are both calculated from the raw value. The candidate rules are fitted to this one dump (one data point each) and are NOT confirmed.</t>
  </si>
  <si>
    <t xml:space="preserve">Setting</t>
  </si>
  <si>
    <t xml:space="preserve">Raw value</t>
  </si>
  <si>
    <t xml:space="preserve">QDMR rule</t>
  </si>
  <si>
    <t xml:space="preserve">QDMR result</t>
  </si>
  <si>
    <t xml:space="preserve">Candidate factory rule</t>
  </si>
  <si>
    <t xml:space="preserve">Candidate result</t>
  </si>
  <si>
    <t xml:space="preserve">Candidate matches?</t>
  </si>
  <si>
    <t xml:space="preserve">raw x 5 + 15 (0 = off)</t>
  </si>
  <si>
    <t xml:space="preserve">(raw - 1) x 5 + 15</t>
  </si>
  <si>
    <t xml:space="preserve">QDMR is one step higher than the factory CPS.</t>
  </si>
  <si>
    <t xml:space="preserve">raw x 30 + 300</t>
  </si>
  <si>
    <t xml:space="preserve">(raw - 1) x 30 + 300</t>
  </si>
  <si>
    <t xml:space="preserve">Same pattern as TOT: one step higher in QDMR.</t>
  </si>
  <si>
    <t xml:space="preserve">0 = off, 1-5 = level</t>
  </si>
  <si>
    <t xml:space="preserve">raw + 1</t>
  </si>
  <si>
    <t xml:space="preserve">The factory shows levels 1-5 for raw 0-4, so QDMR reading 0 as "off" looks like a misreading.</t>
  </si>
  <si>
    <t xml:space="preserve">raw x 10 / 5 + 1 (scale 1-10)</t>
  </si>
  <si>
    <t xml:space="preserve">QDMR rescales 0-4 to 1-10; the factory shows raw + 1.</t>
  </si>
  <si>
    <t xml:space="preserve">Same as the analog mic level.</t>
  </si>
  <si>
    <t xml:space="preserve">raw x 10 / 5 (scale 1-10)</t>
  </si>
  <si>
    <t xml:space="preserve">QDMR rescales 0-4 to a 10-point scale; the factory shows raw + 1.</t>
  </si>
  <si>
    <t xml:space="preserve">Time Zone (hours from UTC)</t>
  </si>
  <si>
    <t xml:space="preserve">raw - 11</t>
  </si>
  <si>
    <t xml:space="preserve">raw - 12</t>
  </si>
  <si>
    <t xml:space="preserve">QDMR is one hour higher than the factory CPS.</t>
  </si>
  <si>
    <t xml:space="preserve">Settings with text values</t>
  </si>
  <si>
    <t xml:space="preserve">On</t>
  </si>
  <si>
    <t xml:space="preserve">Raw bit is set; the factory box is empty.</t>
  </si>
  <si>
    <t xml:space="preserve">Raw 1 is Beidou in QDMR but GPS+BDS in the factory CPS.</t>
  </si>
  <si>
    <t xml:space="preserve">Raw 1 is VFO in QDMR but MR (channel mode) in the factory CPS.</t>
  </si>
  <si>
    <t xml:space="preserve">Same as Work Mode(A).</t>
  </si>
  <si>
    <t xml:space="preserve">Raw 1 is B in QDMR but A in the factory CPS.</t>
  </si>
  <si>
    <t xml:space="preserve">Does QDMR change these values when it reads and writes them back?</t>
  </si>
  <si>
    <t xml:space="preserve">Calculated with the same range-mapping formula QDMR uses (integer arithmetic). "Same?" = yes means the raw byte comes back unchanged.</t>
  </si>
  <si>
    <t xml:space="preserve">Raw value on radio</t>
  </si>
  <si>
    <t xml:space="preserve">Level QDMR holds</t>
  </si>
  <si>
    <t xml:space="preserve">Raw value written back</t>
  </si>
  <si>
    <t xml:space="preserve">Same?</t>
  </si>
  <si>
    <t xml:space="preserve">Mic level (raw 0-4 mapped to 1-10)</t>
  </si>
  <si>
    <t xml:space="preserve">VOX level (raw 1-5 mapped to 1-10)</t>
  </si>
  <si>
    <t xml:space="preserve">TOT (your radio: raw 22)</t>
  </si>
  <si>
    <t xml:space="preserve">Active Wait Time, Backlight, Time Zone and GPS are not written by QDMR at all, so they are not round-tripped. Only values QDMR both reads and writes are shown.</t>
  </si>
</sst>
</file>

<file path=xl/styles.xml><?xml version="1.0" encoding="utf-8"?>
<styleSheet xmlns="http://schemas.openxmlformats.org/spreadsheetml/2006/main">
  <numFmts count="3">
    <numFmt numFmtId="164" formatCode="General"/>
    <numFmt numFmtId="165" formatCode="General"/>
    <numFmt numFmtId="166" formatCode="0%"/>
  </numFmts>
  <fonts count="11">
    <font>
      <sz val="11"/>
      <color theme="1"/>
      <name val="Calibri"/>
      <family val="2"/>
      <charset val="1"/>
    </font>
    <font>
      <sz val="10"/>
      <name val="Arial"/>
      <family val="0"/>
    </font>
    <font>
      <sz val="10"/>
      <name val="Arial"/>
      <family val="0"/>
    </font>
    <font>
      <sz val="10"/>
      <name val="Arial"/>
      <family val="0"/>
    </font>
    <font>
      <b val="true"/>
      <sz val="16"/>
      <name val="Arial"/>
      <family val="0"/>
      <charset val="1"/>
    </font>
    <font>
      <i val="true"/>
      <sz val="10"/>
      <color rgb="FF555555"/>
      <name val="Arial"/>
      <family val="0"/>
      <charset val="1"/>
    </font>
    <font>
      <b val="true"/>
      <sz val="11"/>
      <name val="Arial"/>
      <family val="0"/>
      <charset val="1"/>
    </font>
    <font>
      <sz val="10"/>
      <name val="Arial"/>
      <family val="0"/>
      <charset val="1"/>
    </font>
    <font>
      <b val="true"/>
      <sz val="10"/>
      <name val="Arial"/>
      <family val="0"/>
      <charset val="1"/>
    </font>
    <font>
      <b val="true"/>
      <sz val="14"/>
      <name val="Arial"/>
      <family val="0"/>
      <charset val="1"/>
    </font>
    <font>
      <b val="true"/>
      <sz val="10"/>
      <color rgb="FFFFFFFF"/>
      <name val="Arial"/>
      <family val="0"/>
      <charset val="1"/>
    </font>
  </fonts>
  <fills count="3">
    <fill>
      <patternFill patternType="none"/>
    </fill>
    <fill>
      <patternFill patternType="gray125"/>
    </fill>
    <fill>
      <patternFill patternType="solid">
        <fgColor rgb="FF1F3A44"/>
        <bgColor rgb="FF003366"/>
      </patternFill>
    </fill>
  </fills>
  <borders count="2">
    <border diagonalUp="false" diagonalDown="false">
      <left/>
      <right/>
      <top/>
      <bottom/>
      <diagonal/>
    </border>
    <border diagonalUp="false" diagonalDown="false">
      <left style="thin">
        <color rgb="FFC9D6D9"/>
      </left>
      <right style="thin">
        <color rgb="FFC9D6D9"/>
      </right>
      <top style="thin">
        <color rgb="FFC9D6D9"/>
      </top>
      <bottom style="thin">
        <color rgb="FFC9D6D9"/>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16">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xf numFmtId="164" fontId="7" fillId="0" borderId="0" xfId="0" applyFont="true" applyBorder="false" applyAlignment="false" applyProtection="false">
      <alignment horizontal="general" vertical="bottom" textRotation="0" wrapText="false" indent="0" shrinkToFit="false"/>
      <protection locked="true" hidden="false"/>
    </xf>
    <xf numFmtId="165" fontId="8" fillId="0" borderId="0" xfId="0" applyFont="true" applyBorder="false" applyAlignment="true" applyProtection="false">
      <alignment horizontal="center" vertical="bottom" textRotation="0" wrapText="false" indent="0" shrinkToFit="false"/>
      <protection locked="true" hidden="false"/>
    </xf>
    <xf numFmtId="164" fontId="8" fillId="0" borderId="0" xfId="0" applyFont="true" applyBorder="false" applyAlignment="false" applyProtection="false">
      <alignment horizontal="general" vertical="bottom" textRotation="0" wrapText="false" indent="0" shrinkToFit="false"/>
      <protection locked="true" hidden="false"/>
    </xf>
    <xf numFmtId="166" fontId="8" fillId="0" borderId="0" xfId="0" applyFont="true" applyBorder="false" applyAlignment="true" applyProtection="false">
      <alignment horizontal="center" vertical="bottom" textRotation="0" wrapText="false" indent="0" shrinkToFit="false"/>
      <protection locked="true" hidden="false"/>
    </xf>
    <xf numFmtId="164" fontId="7" fillId="0" borderId="0" xfId="0" applyFont="true" applyBorder="true" applyAlignment="true" applyProtection="false">
      <alignment horizontal="general" vertical="top" textRotation="0" wrapText="true" indent="0" shrinkToFit="false"/>
      <protection locked="true" hidden="false"/>
    </xf>
    <xf numFmtId="164" fontId="9"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true" applyAlignment="true" applyProtection="false">
      <alignment horizontal="general" vertical="top" textRotation="0" wrapText="true" indent="0" shrinkToFit="false"/>
      <protection locked="true" hidden="false"/>
    </xf>
    <xf numFmtId="164" fontId="10" fillId="2" borderId="1" xfId="0" applyFont="true" applyBorder="true" applyAlignment="true" applyProtection="false">
      <alignment horizontal="general" vertical="center" textRotation="0" wrapText="true" indent="0" shrinkToFit="false"/>
      <protection locked="true" hidden="false"/>
    </xf>
    <xf numFmtId="164" fontId="7" fillId="0" borderId="1" xfId="0" applyFont="true" applyBorder="true" applyAlignment="true" applyProtection="false">
      <alignment horizontal="general" vertical="top" textRotation="0" wrapText="true" indent="0" shrinkToFit="false"/>
      <protection locked="true" hidden="false"/>
    </xf>
    <xf numFmtId="164" fontId="7" fillId="0" borderId="1" xfId="0" applyFont="true" applyBorder="true" applyAlignment="true" applyProtection="false">
      <alignment horizontal="center" vertical="top" textRotation="0" wrapText="false" indent="0" shrinkToFit="false"/>
      <protection locked="true" hidden="false"/>
    </xf>
    <xf numFmtId="164" fontId="5" fillId="0" borderId="0" xfId="0" applyFont="true" applyBorder="true" applyAlignment="false" applyProtection="false">
      <alignment horizontal="general" vertical="bottom" textRotation="0" wrapText="false" indent="0" shrinkToFit="false"/>
      <protection locked="true" hidden="false"/>
    </xf>
    <xf numFmtId="164" fontId="7" fillId="0" borderId="1" xfId="0" applyFont="true" applyBorder="true" applyAlignment="true" applyProtection="false">
      <alignment horizontal="left" vertical="top"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11">
    <dxf>
      <fill>
        <patternFill patternType="solid">
          <fgColor rgb="FF1F3A44"/>
          <bgColor rgb="FF000000"/>
        </patternFill>
      </fill>
    </dxf>
    <dxf>
      <fill>
        <patternFill patternType="solid">
          <bgColor rgb="FF000000"/>
        </patternFill>
      </fill>
    </dxf>
    <dxf>
      <fill>
        <patternFill patternType="solid">
          <fgColor rgb="FFFFFFFF"/>
          <bgColor rgb="FF000000"/>
        </patternFill>
      </fill>
    </dxf>
    <dxf>
      <fill>
        <patternFill patternType="solid">
          <fgColor rgb="FFDDF1E4"/>
          <bgColor rgb="FF000000"/>
        </patternFill>
      </fill>
    </dxf>
    <dxf>
      <fill>
        <patternFill patternType="solid">
          <fgColor rgb="FFECEFF1"/>
          <bgColor rgb="FF000000"/>
        </patternFill>
      </fill>
    </dxf>
    <dxf>
      <fill>
        <patternFill patternType="solid">
          <fgColor rgb="FFFBE0DC"/>
          <bgColor rgb="FF000000"/>
        </patternFill>
      </fill>
    </dxf>
    <dxf>
      <fill>
        <patternFill patternType="solid">
          <fgColor rgb="FFFFF1C9"/>
          <bgColor rgb="FF000000"/>
        </patternFill>
      </fill>
    </dxf>
    <dxf>
      <fill>
        <patternFill>
          <bgColor rgb="FFDDF1E4"/>
        </patternFill>
      </fill>
    </dxf>
    <dxf>
      <fill>
        <patternFill>
          <bgColor rgb="FFFBE0DC"/>
        </patternFill>
      </fill>
    </dxf>
    <dxf>
      <fill>
        <patternFill>
          <bgColor rgb="FFFFF1C9"/>
        </patternFill>
      </fill>
    </dxf>
    <dxf>
      <fill>
        <patternFill>
          <bgColor rgb="FFECEFF1"/>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1C9"/>
      <rgbColor rgb="FFECEFF1"/>
      <rgbColor rgb="FF660066"/>
      <rgbColor rgb="FFFF8080"/>
      <rgbColor rgb="FF0066CC"/>
      <rgbColor rgb="FFC9D6D9"/>
      <rgbColor rgb="FF000080"/>
      <rgbColor rgb="FFFF00FF"/>
      <rgbColor rgb="FFFFFF00"/>
      <rgbColor rgb="FF00FFFF"/>
      <rgbColor rgb="FF800080"/>
      <rgbColor rgb="FF800000"/>
      <rgbColor rgb="FF008080"/>
      <rgbColor rgb="FF0000FF"/>
      <rgbColor rgb="FF00CCFF"/>
      <rgbColor rgb="FFCCFFFF"/>
      <rgbColor rgb="FFDDF1E4"/>
      <rgbColor rgb="FFFFFF99"/>
      <rgbColor rgb="FF99CCFF"/>
      <rgbColor rgb="FFFF99CC"/>
      <rgbColor rgb="FFCC99FF"/>
      <rgbColor rgb="FFFBE0DC"/>
      <rgbColor rgb="FF3366FF"/>
      <rgbColor rgb="FF33CCCC"/>
      <rgbColor rgb="FF99CC00"/>
      <rgbColor rgb="FFFFCC00"/>
      <rgbColor rgb="FFFF9900"/>
      <rgbColor rgb="FFFF6600"/>
      <rgbColor rgb="FF555555"/>
      <rgbColor rgb="FF969696"/>
      <rgbColor rgb="FF003366"/>
      <rgbColor rgb="FF339966"/>
      <rgbColor rgb="FF003300"/>
      <rgbColor rgb="FF333300"/>
      <rgbColor rgb="FF993300"/>
      <rgbColor rgb="FF993366"/>
      <rgbColor rgb="FF333399"/>
      <rgbColor rgb="FF1F3A44"/>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2.xml.rels><?xml version="1.0" encoding="UTF-8"?>
<Relationships xmlns="http://schemas.openxmlformats.org/package/2006/relationships"><Relationship Id="rId1" Type="http://schemas.openxmlformats.org/officeDocument/2006/relationships/drawing" Target="../drawings/drawing1.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30"/>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44"/>
    <col collapsed="false" customWidth="true" hidden="false" outlineLevel="0" max="2" min="2" style="0" width="14"/>
    <col collapsed="false" customWidth="true" hidden="false" outlineLevel="0" max="3" min="3" style="0" width="40"/>
    <col collapsed="false" customWidth="true" hidden="false" outlineLevel="0" max="4" min="4" style="0" width="30"/>
  </cols>
  <sheetData>
    <row r="1" customFormat="false" ht="19.7" hidden="false" customHeight="false" outlineLevel="0" collapsed="false">
      <c r="A1" s="1" t="s">
        <v>0</v>
      </c>
    </row>
    <row r="2" customFormat="false" ht="15" hidden="false" customHeight="false" outlineLevel="0" collapsed="false">
      <c r="A2" s="2" t="s">
        <v>1</v>
      </c>
    </row>
    <row r="4" customFormat="false" ht="15" hidden="false" customHeight="false" outlineLevel="0" collapsed="false">
      <c r="A4" s="3" t="s">
        <v>2</v>
      </c>
    </row>
    <row r="5" customFormat="false" ht="15" hidden="false" customHeight="false" outlineLevel="0" collapsed="false">
      <c r="A5" s="4" t="s">
        <v>3</v>
      </c>
      <c r="B5" s="5" t="n">
        <f aca="false">COUNTIF(Comparison!$K$5:$K$90,"Match")</f>
        <v>57</v>
      </c>
    </row>
    <row r="6" customFormat="false" ht="15" hidden="false" customHeight="false" outlineLevel="0" collapsed="false">
      <c r="A6" s="4" t="s">
        <v>4</v>
      </c>
      <c r="B6" s="5" t="n">
        <f aca="false">COUNTIF(Comparison!$K$5:$K$90,"Differs")</f>
        <v>12</v>
      </c>
    </row>
    <row r="7" customFormat="false" ht="15" hidden="false" customHeight="false" outlineLevel="0" collapsed="false">
      <c r="A7" s="4" t="s">
        <v>5</v>
      </c>
      <c r="B7" s="5" t="n">
        <f aca="false">COUNTIF(Comparison!$K$5:$K$90,"Unverified")</f>
        <v>2</v>
      </c>
    </row>
    <row r="8" customFormat="false" ht="15" hidden="false" customHeight="false" outlineLevel="0" collapsed="false">
      <c r="A8" s="4" t="s">
        <v>6</v>
      </c>
      <c r="B8" s="5" t="n">
        <f aca="false">COUNTIF(Comparison!$K$5:$K$90,"Not compared")</f>
        <v>15</v>
      </c>
    </row>
    <row r="9" customFormat="false" ht="15" hidden="false" customHeight="false" outlineLevel="0" collapsed="false">
      <c r="A9" s="6" t="s">
        <v>7</v>
      </c>
      <c r="B9" s="5" t="n">
        <f aca="false">SUM(B5:B8)</f>
        <v>86</v>
      </c>
    </row>
    <row r="10" customFormat="false" ht="15" hidden="false" customHeight="false" outlineLevel="0" collapsed="false">
      <c r="A10" s="4" t="s">
        <v>8</v>
      </c>
      <c r="B10" s="7" t="n">
        <f aca="false">B5/(B5+B6+B7)</f>
        <v>0.802816901408451</v>
      </c>
    </row>
    <row r="12" customFormat="false" ht="15" hidden="false" customHeight="false" outlineLevel="0" collapsed="false">
      <c r="A12" s="3" t="s">
        <v>9</v>
      </c>
    </row>
    <row r="13" customFormat="false" ht="42" hidden="false" customHeight="true" outlineLevel="0" collapsed="false">
      <c r="A13" s="8" t="s">
        <v>10</v>
      </c>
      <c r="B13" s="8"/>
      <c r="C13" s="8"/>
      <c r="D13" s="8"/>
    </row>
    <row r="14" customFormat="false" ht="42" hidden="false" customHeight="true" outlineLevel="0" collapsed="false">
      <c r="A14" s="8" t="s">
        <v>11</v>
      </c>
      <c r="B14" s="8"/>
      <c r="C14" s="8"/>
      <c r="D14" s="8"/>
    </row>
    <row r="15" customFormat="false" ht="42" hidden="false" customHeight="true" outlineLevel="0" collapsed="false">
      <c r="A15" s="8" t="s">
        <v>12</v>
      </c>
      <c r="B15" s="8"/>
      <c r="C15" s="8"/>
      <c r="D15" s="8"/>
    </row>
    <row r="16" customFormat="false" ht="42" hidden="false" customHeight="true" outlineLevel="0" collapsed="false">
      <c r="A16" s="8" t="s">
        <v>13</v>
      </c>
      <c r="B16" s="8"/>
      <c r="C16" s="8"/>
      <c r="D16" s="8"/>
    </row>
    <row r="17" customFormat="false" ht="42" hidden="false" customHeight="true" outlineLevel="0" collapsed="false">
      <c r="A17" s="8" t="s">
        <v>14</v>
      </c>
      <c r="B17" s="8"/>
      <c r="C17" s="8"/>
      <c r="D17" s="8"/>
    </row>
    <row r="19" customFormat="false" ht="15" hidden="false" customHeight="false" outlineLevel="0" collapsed="false">
      <c r="A19" s="3" t="s">
        <v>15</v>
      </c>
    </row>
    <row r="20" customFormat="false" ht="30" hidden="false" customHeight="true" outlineLevel="0" collapsed="false">
      <c r="A20" s="8" t="s">
        <v>16</v>
      </c>
      <c r="B20" s="8"/>
      <c r="C20" s="8"/>
      <c r="D20" s="8"/>
    </row>
    <row r="21" customFormat="false" ht="30" hidden="false" customHeight="true" outlineLevel="0" collapsed="false">
      <c r="A21" s="8" t="s">
        <v>17</v>
      </c>
      <c r="B21" s="8"/>
      <c r="C21" s="8"/>
      <c r="D21" s="8"/>
    </row>
    <row r="22" customFormat="false" ht="30" hidden="false" customHeight="true" outlineLevel="0" collapsed="false">
      <c r="A22" s="8" t="s">
        <v>18</v>
      </c>
      <c r="B22" s="8"/>
      <c r="C22" s="8"/>
      <c r="D22" s="8"/>
    </row>
    <row r="23" customFormat="false" ht="30" hidden="false" customHeight="true" outlineLevel="0" collapsed="false">
      <c r="A23" s="8" t="s">
        <v>19</v>
      </c>
      <c r="B23" s="8"/>
      <c r="C23" s="8"/>
      <c r="D23" s="8"/>
    </row>
    <row r="24" customFormat="false" ht="30" hidden="false" customHeight="true" outlineLevel="0" collapsed="false">
      <c r="A24" s="8" t="s">
        <v>20</v>
      </c>
      <c r="B24" s="8"/>
      <c r="C24" s="8"/>
      <c r="D24" s="8"/>
    </row>
    <row r="25" customFormat="false" ht="30" hidden="false" customHeight="true" outlineLevel="0" collapsed="false">
      <c r="A25" s="8" t="s">
        <v>21</v>
      </c>
      <c r="B25" s="8"/>
      <c r="C25" s="8"/>
      <c r="D25" s="8"/>
    </row>
    <row r="27" customFormat="false" ht="15" hidden="false" customHeight="false" outlineLevel="0" collapsed="false">
      <c r="A27" s="3" t="s">
        <v>22</v>
      </c>
    </row>
    <row r="28" customFormat="false" ht="27.75" hidden="false" customHeight="true" outlineLevel="0" collapsed="false">
      <c r="A28" s="8" t="s">
        <v>23</v>
      </c>
      <c r="B28" s="8"/>
      <c r="C28" s="8"/>
      <c r="D28" s="8"/>
    </row>
    <row r="29" customFormat="false" ht="27.75" hidden="false" customHeight="true" outlineLevel="0" collapsed="false">
      <c r="A29" s="8" t="s">
        <v>24</v>
      </c>
      <c r="B29" s="8"/>
      <c r="C29" s="8"/>
      <c r="D29" s="8"/>
    </row>
    <row r="30" customFormat="false" ht="27.75" hidden="false" customHeight="true" outlineLevel="0" collapsed="false">
      <c r="A30" s="8" t="s">
        <v>25</v>
      </c>
      <c r="B30" s="8"/>
      <c r="C30" s="8"/>
      <c r="D30" s="8"/>
    </row>
  </sheetData>
  <mergeCells count="14">
    <mergeCell ref="A13:D13"/>
    <mergeCell ref="A14:D14"/>
    <mergeCell ref="A15:D15"/>
    <mergeCell ref="A16:D16"/>
    <mergeCell ref="A17:D17"/>
    <mergeCell ref="A20:D20"/>
    <mergeCell ref="A21:D21"/>
    <mergeCell ref="A22:D22"/>
    <mergeCell ref="A23:D23"/>
    <mergeCell ref="A24:D24"/>
    <mergeCell ref="A25:D25"/>
    <mergeCell ref="A28:D28"/>
    <mergeCell ref="A29:D29"/>
    <mergeCell ref="A30:D30"/>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9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2" ySplit="4" topLeftCell="C5" activePane="bottomRight" state="frozen"/>
      <selection pane="topLeft" activeCell="A1" activeCellId="0" sqref="A1"/>
      <selection pane="topRight" activeCell="C1" activeCellId="0" sqref="C1"/>
      <selection pane="bottomLeft" activeCell="A5" activeCellId="0" sqref="A5"/>
      <selection pane="bottomRight" activeCell="A1" activeCellId="0" sqref="A1"/>
    </sheetView>
  </sheetViews>
  <sheetFormatPr defaultColWidth="8.6796875" defaultRowHeight="15" zeroHeight="false" outlineLevelRow="0" outlineLevelCol="0"/>
  <cols>
    <col collapsed="false" customWidth="true" hidden="false" outlineLevel="0" max="1" min="1" style="0" width="14"/>
    <col collapsed="false" customWidth="true" hidden="false" outlineLevel="0" max="2" min="2" style="0" width="28"/>
    <col collapsed="false" customWidth="true" hidden="false" outlineLevel="0" max="3" min="3" style="0" width="24"/>
    <col collapsed="false" customWidth="true" hidden="false" outlineLevel="0" max="4" min="4" style="0" width="10"/>
    <col collapsed="false" customWidth="true" hidden="false" outlineLevel="0" max="5" min="5" style="0" width="6"/>
    <col collapsed="false" customWidth="true" hidden="false" outlineLevel="0" max="6" min="6" style="0" width="9"/>
    <col collapsed="false" customWidth="true" hidden="false" outlineLevel="0" max="7" min="7" style="0" width="10"/>
    <col collapsed="false" customWidth="true" hidden="false" outlineLevel="0" max="8" min="8" style="0" width="9"/>
    <col collapsed="false" customWidth="true" hidden="false" outlineLevel="0" max="9" min="9" style="0" width="24"/>
    <col collapsed="false" customWidth="true" hidden="false" outlineLevel="0" max="10" min="10" style="0" width="20"/>
    <col collapsed="false" customWidth="true" hidden="false" outlineLevel="0" max="11" min="11" style="0" width="14"/>
    <col collapsed="false" customWidth="true" hidden="false" outlineLevel="0" max="12" min="12" style="0" width="52"/>
  </cols>
  <sheetData>
    <row r="1" customFormat="false" ht="17.35" hidden="false" customHeight="false" outlineLevel="0" collapsed="false">
      <c r="A1" s="9" t="s">
        <v>26</v>
      </c>
    </row>
    <row r="2" customFormat="false" ht="30" hidden="false" customHeight="true" outlineLevel="0" collapsed="false">
      <c r="A2" s="10" t="s">
        <v>27</v>
      </c>
      <c r="B2" s="10"/>
      <c r="C2" s="10"/>
      <c r="D2" s="10"/>
      <c r="E2" s="10"/>
      <c r="F2" s="10"/>
      <c r="G2" s="10"/>
      <c r="H2" s="10"/>
      <c r="I2" s="10"/>
      <c r="J2" s="10"/>
      <c r="K2" s="10"/>
      <c r="L2" s="10"/>
    </row>
    <row r="4" customFormat="false" ht="35.05" hidden="false" customHeight="false" outlineLevel="0" collapsed="false">
      <c r="A4" s="11" t="s">
        <v>28</v>
      </c>
      <c r="B4" s="11" t="s">
        <v>29</v>
      </c>
      <c r="C4" s="11" t="s">
        <v>30</v>
      </c>
      <c r="D4" s="11" t="s">
        <v>31</v>
      </c>
      <c r="E4" s="11" t="s">
        <v>32</v>
      </c>
      <c r="F4" s="11" t="s">
        <v>33</v>
      </c>
      <c r="G4" s="11" t="s">
        <v>34</v>
      </c>
      <c r="H4" s="11" t="s">
        <v>35</v>
      </c>
      <c r="I4" s="11" t="s">
        <v>36</v>
      </c>
      <c r="J4" s="11" t="s">
        <v>37</v>
      </c>
      <c r="K4" s="11" t="s">
        <v>38</v>
      </c>
      <c r="L4" s="11" t="s">
        <v>39</v>
      </c>
    </row>
    <row r="5" customFormat="false" ht="15" hidden="false" customHeight="false" outlineLevel="0" collapsed="false">
      <c r="A5" s="12" t="s">
        <v>40</v>
      </c>
      <c r="B5" s="12" t="s">
        <v>41</v>
      </c>
      <c r="C5" s="12" t="s">
        <v>42</v>
      </c>
      <c r="D5" s="13" t="s">
        <v>43</v>
      </c>
      <c r="E5" s="13" t="n">
        <v>0</v>
      </c>
      <c r="F5" s="13" t="n">
        <v>8</v>
      </c>
      <c r="G5" s="13" t="s">
        <v>44</v>
      </c>
      <c r="H5" s="13" t="n">
        <f aca="false">MOD(INT(HEX2DEC(G5)/2^E5),2^F5)</f>
        <v>0</v>
      </c>
      <c r="I5" s="12" t="s">
        <v>45</v>
      </c>
      <c r="J5" s="12" t="s">
        <v>45</v>
      </c>
      <c r="K5" s="12" t="s">
        <v>3</v>
      </c>
      <c r="L5" s="12"/>
    </row>
    <row r="6" customFormat="false" ht="15" hidden="false" customHeight="false" outlineLevel="0" collapsed="false">
      <c r="A6" s="12" t="s">
        <v>40</v>
      </c>
      <c r="B6" s="12" t="s">
        <v>46</v>
      </c>
      <c r="C6" s="12" t="s">
        <v>47</v>
      </c>
      <c r="D6" s="13" t="s">
        <v>48</v>
      </c>
      <c r="E6" s="13" t="n">
        <v>0</v>
      </c>
      <c r="F6" s="13" t="n">
        <v>8</v>
      </c>
      <c r="G6" s="13" t="s">
        <v>44</v>
      </c>
      <c r="H6" s="13" t="n">
        <f aca="false">MOD(INT(HEX2DEC(G6)/2^E6),2^F6)</f>
        <v>0</v>
      </c>
      <c r="I6" s="12" t="s">
        <v>49</v>
      </c>
      <c r="J6" s="12" t="s">
        <v>50</v>
      </c>
      <c r="K6" s="12" t="s">
        <v>3</v>
      </c>
      <c r="L6" s="12"/>
    </row>
    <row r="7" customFormat="false" ht="15" hidden="false" customHeight="false" outlineLevel="0" collapsed="false">
      <c r="A7" s="12" t="s">
        <v>40</v>
      </c>
      <c r="B7" s="12" t="s">
        <v>51</v>
      </c>
      <c r="C7" s="12" t="s">
        <v>52</v>
      </c>
      <c r="D7" s="13" t="s">
        <v>53</v>
      </c>
      <c r="E7" s="13" t="n">
        <v>0</v>
      </c>
      <c r="F7" s="13" t="s">
        <v>54</v>
      </c>
      <c r="G7" s="13" t="s">
        <v>55</v>
      </c>
      <c r="H7" s="13" t="s">
        <v>55</v>
      </c>
      <c r="I7" s="12" t="s">
        <v>56</v>
      </c>
      <c r="J7" s="12" t="s">
        <v>56</v>
      </c>
      <c r="K7" s="12" t="s">
        <v>3</v>
      </c>
      <c r="L7" s="12" t="s">
        <v>57</v>
      </c>
    </row>
    <row r="8" customFormat="false" ht="15" hidden="false" customHeight="false" outlineLevel="0" collapsed="false">
      <c r="A8" s="12" t="s">
        <v>40</v>
      </c>
      <c r="B8" s="12" t="s">
        <v>58</v>
      </c>
      <c r="C8" s="12" t="s">
        <v>59</v>
      </c>
      <c r="D8" s="13" t="s">
        <v>60</v>
      </c>
      <c r="E8" s="13" t="n">
        <v>0</v>
      </c>
      <c r="F8" s="13" t="s">
        <v>54</v>
      </c>
      <c r="G8" s="13" t="s">
        <v>55</v>
      </c>
      <c r="H8" s="13" t="s">
        <v>55</v>
      </c>
      <c r="I8" s="12" t="s">
        <v>61</v>
      </c>
      <c r="J8" s="12" t="s">
        <v>61</v>
      </c>
      <c r="K8" s="12" t="s">
        <v>3</v>
      </c>
      <c r="L8" s="12" t="s">
        <v>57</v>
      </c>
    </row>
    <row r="9" customFormat="false" ht="15" hidden="false" customHeight="false" outlineLevel="0" collapsed="false">
      <c r="A9" s="12" t="s">
        <v>40</v>
      </c>
      <c r="B9" s="12" t="s">
        <v>62</v>
      </c>
      <c r="C9" s="12" t="s">
        <v>63</v>
      </c>
      <c r="D9" s="13" t="s">
        <v>64</v>
      </c>
      <c r="E9" s="13" t="n">
        <v>0</v>
      </c>
      <c r="F9" s="13" t="n">
        <v>8</v>
      </c>
      <c r="G9" s="13" t="s">
        <v>65</v>
      </c>
      <c r="H9" s="13" t="n">
        <f aca="false">MOD(INT(HEX2DEC(G9)/2^E9),2^F9)</f>
        <v>1</v>
      </c>
      <c r="I9" s="12" t="s">
        <v>66</v>
      </c>
      <c r="J9" s="12" t="s">
        <v>66</v>
      </c>
      <c r="K9" s="12" t="s">
        <v>3</v>
      </c>
      <c r="L9" s="12"/>
    </row>
    <row r="10" customFormat="false" ht="15" hidden="false" customHeight="false" outlineLevel="0" collapsed="false">
      <c r="A10" s="12" t="s">
        <v>67</v>
      </c>
      <c r="B10" s="12" t="s">
        <v>68</v>
      </c>
      <c r="C10" s="12" t="s">
        <v>69</v>
      </c>
      <c r="D10" s="13" t="s">
        <v>70</v>
      </c>
      <c r="E10" s="13" t="n">
        <v>1</v>
      </c>
      <c r="F10" s="13" t="n">
        <v>2</v>
      </c>
      <c r="G10" s="13" t="s">
        <v>71</v>
      </c>
      <c r="H10" s="13" t="n">
        <f aca="false">MOD(INT(HEX2DEC(G10)/2^E10),2^F10)</f>
        <v>0</v>
      </c>
      <c r="I10" s="12" t="s">
        <v>45</v>
      </c>
      <c r="J10" s="12" t="s">
        <v>45</v>
      </c>
      <c r="K10" s="12" t="s">
        <v>3</v>
      </c>
      <c r="L10" s="12"/>
    </row>
    <row r="11" customFormat="false" ht="15" hidden="false" customHeight="false" outlineLevel="0" collapsed="false">
      <c r="A11" s="12" t="s">
        <v>67</v>
      </c>
      <c r="B11" s="12" t="s">
        <v>72</v>
      </c>
      <c r="C11" s="12" t="s">
        <v>73</v>
      </c>
      <c r="D11" s="13" t="s">
        <v>74</v>
      </c>
      <c r="E11" s="13" t="n">
        <v>7</v>
      </c>
      <c r="F11" s="13" t="n">
        <v>1</v>
      </c>
      <c r="G11" s="13" t="s">
        <v>75</v>
      </c>
      <c r="H11" s="13" t="n">
        <f aca="false">MOD(INT(HEX2DEC(G11)/2^E11),2^F11)</f>
        <v>0</v>
      </c>
      <c r="I11" s="12" t="s">
        <v>76</v>
      </c>
      <c r="J11" s="12" t="s">
        <v>76</v>
      </c>
      <c r="K11" s="12" t="s">
        <v>3</v>
      </c>
      <c r="L11" s="12"/>
    </row>
    <row r="12" customFormat="false" ht="15" hidden="false" customHeight="false" outlineLevel="0" collapsed="false">
      <c r="A12" s="12" t="s">
        <v>67</v>
      </c>
      <c r="B12" s="12" t="s">
        <v>77</v>
      </c>
      <c r="C12" s="12" t="s">
        <v>78</v>
      </c>
      <c r="D12" s="13" t="s">
        <v>74</v>
      </c>
      <c r="E12" s="13" t="n">
        <v>6</v>
      </c>
      <c r="F12" s="13" t="n">
        <v>1</v>
      </c>
      <c r="G12" s="13" t="s">
        <v>75</v>
      </c>
      <c r="H12" s="13" t="n">
        <f aca="false">MOD(INT(HEX2DEC(G12)/2^E12),2^F12)</f>
        <v>0</v>
      </c>
      <c r="I12" s="12" t="s">
        <v>76</v>
      </c>
      <c r="J12" s="12" t="s">
        <v>76</v>
      </c>
      <c r="K12" s="12" t="s">
        <v>3</v>
      </c>
      <c r="L12" s="12"/>
    </row>
    <row r="13" customFormat="false" ht="15" hidden="false" customHeight="false" outlineLevel="0" collapsed="false">
      <c r="A13" s="12" t="s">
        <v>67</v>
      </c>
      <c r="B13" s="12" t="s">
        <v>79</v>
      </c>
      <c r="C13" s="12" t="s">
        <v>80</v>
      </c>
      <c r="D13" s="13" t="s">
        <v>74</v>
      </c>
      <c r="E13" s="13" t="n">
        <v>5</v>
      </c>
      <c r="F13" s="13" t="n">
        <v>1</v>
      </c>
      <c r="G13" s="13" t="s">
        <v>75</v>
      </c>
      <c r="H13" s="13" t="n">
        <f aca="false">MOD(INT(HEX2DEC(G13)/2^E13),2^F13)</f>
        <v>1</v>
      </c>
      <c r="I13" s="12" t="s">
        <v>66</v>
      </c>
      <c r="J13" s="12" t="s">
        <v>66</v>
      </c>
      <c r="K13" s="12" t="s">
        <v>3</v>
      </c>
      <c r="L13" s="12"/>
    </row>
    <row r="14" customFormat="false" ht="15" hidden="false" customHeight="false" outlineLevel="0" collapsed="false">
      <c r="A14" s="12" t="s">
        <v>67</v>
      </c>
      <c r="B14" s="12" t="s">
        <v>81</v>
      </c>
      <c r="C14" s="12" t="s">
        <v>82</v>
      </c>
      <c r="D14" s="13" t="s">
        <v>74</v>
      </c>
      <c r="E14" s="13" t="n">
        <v>4</v>
      </c>
      <c r="F14" s="13" t="n">
        <v>1</v>
      </c>
      <c r="G14" s="13" t="s">
        <v>75</v>
      </c>
      <c r="H14" s="13" t="n">
        <f aca="false">MOD(INT(HEX2DEC(G14)/2^E14),2^F14)</f>
        <v>1</v>
      </c>
      <c r="I14" s="12" t="s">
        <v>66</v>
      </c>
      <c r="J14" s="12" t="s">
        <v>66</v>
      </c>
      <c r="K14" s="12" t="s">
        <v>3</v>
      </c>
      <c r="L14" s="12" t="s">
        <v>83</v>
      </c>
    </row>
    <row r="15" customFormat="false" ht="15" hidden="false" customHeight="false" outlineLevel="0" collapsed="false">
      <c r="A15" s="12" t="s">
        <v>67</v>
      </c>
      <c r="B15" s="12" t="s">
        <v>84</v>
      </c>
      <c r="C15" s="12" t="s">
        <v>85</v>
      </c>
      <c r="D15" s="13" t="s">
        <v>74</v>
      </c>
      <c r="E15" s="13" t="n">
        <v>3</v>
      </c>
      <c r="F15" s="13" t="n">
        <v>1</v>
      </c>
      <c r="G15" s="13" t="s">
        <v>75</v>
      </c>
      <c r="H15" s="13" t="n">
        <f aca="false">MOD(INT(HEX2DEC(G15)/2^E15),2^F15)</f>
        <v>1</v>
      </c>
      <c r="I15" s="12" t="s">
        <v>66</v>
      </c>
      <c r="J15" s="12" t="s">
        <v>66</v>
      </c>
      <c r="K15" s="12" t="s">
        <v>3</v>
      </c>
      <c r="L15" s="12"/>
    </row>
    <row r="16" customFormat="false" ht="15" hidden="false" customHeight="false" outlineLevel="0" collapsed="false">
      <c r="A16" s="12" t="s">
        <v>67</v>
      </c>
      <c r="B16" s="12" t="s">
        <v>86</v>
      </c>
      <c r="C16" s="12" t="s">
        <v>87</v>
      </c>
      <c r="D16" s="13" t="s">
        <v>74</v>
      </c>
      <c r="E16" s="13" t="n">
        <v>2</v>
      </c>
      <c r="F16" s="13" t="n">
        <v>1</v>
      </c>
      <c r="G16" s="13" t="s">
        <v>75</v>
      </c>
      <c r="H16" s="13" t="n">
        <f aca="false">MOD(INT(HEX2DEC(G16)/2^E16),2^F16)</f>
        <v>1</v>
      </c>
      <c r="I16" s="12" t="s">
        <v>66</v>
      </c>
      <c r="J16" s="12" t="s">
        <v>66</v>
      </c>
      <c r="K16" s="12" t="s">
        <v>3</v>
      </c>
      <c r="L16" s="12"/>
    </row>
    <row r="17" customFormat="false" ht="15" hidden="false" customHeight="false" outlineLevel="0" collapsed="false">
      <c r="A17" s="12" t="s">
        <v>67</v>
      </c>
      <c r="B17" s="12" t="s">
        <v>88</v>
      </c>
      <c r="C17" s="12" t="s">
        <v>89</v>
      </c>
      <c r="D17" s="13" t="s">
        <v>74</v>
      </c>
      <c r="E17" s="13" t="n">
        <v>1</v>
      </c>
      <c r="F17" s="13" t="n">
        <v>1</v>
      </c>
      <c r="G17" s="13" t="s">
        <v>75</v>
      </c>
      <c r="H17" s="13" t="n">
        <f aca="false">MOD(INT(HEX2DEC(G17)/2^E17),2^F17)</f>
        <v>1</v>
      </c>
      <c r="I17" s="12" t="s">
        <v>66</v>
      </c>
      <c r="J17" s="12" t="s">
        <v>66</v>
      </c>
      <c r="K17" s="12" t="s">
        <v>3</v>
      </c>
      <c r="L17" s="12"/>
    </row>
    <row r="18" customFormat="false" ht="15" hidden="false" customHeight="false" outlineLevel="0" collapsed="false">
      <c r="A18" s="12" t="s">
        <v>67</v>
      </c>
      <c r="B18" s="12" t="s">
        <v>90</v>
      </c>
      <c r="C18" s="12" t="s">
        <v>91</v>
      </c>
      <c r="D18" s="13" t="s">
        <v>74</v>
      </c>
      <c r="E18" s="13" t="n">
        <v>0</v>
      </c>
      <c r="F18" s="13" t="n">
        <v>1</v>
      </c>
      <c r="G18" s="13" t="s">
        <v>75</v>
      </c>
      <c r="H18" s="13" t="n">
        <f aca="false">MOD(INT(HEX2DEC(G18)/2^E18),2^F18)</f>
        <v>0</v>
      </c>
      <c r="I18" s="12" t="s">
        <v>76</v>
      </c>
      <c r="J18" s="12" t="s">
        <v>76</v>
      </c>
      <c r="K18" s="12" t="s">
        <v>3</v>
      </c>
      <c r="L18" s="12"/>
    </row>
    <row r="19" customFormat="false" ht="15" hidden="false" customHeight="false" outlineLevel="0" collapsed="false">
      <c r="A19" s="12" t="s">
        <v>67</v>
      </c>
      <c r="B19" s="12" t="s">
        <v>92</v>
      </c>
      <c r="C19" s="12" t="s">
        <v>93</v>
      </c>
      <c r="D19" s="13" t="s">
        <v>70</v>
      </c>
      <c r="E19" s="13" t="n">
        <v>7</v>
      </c>
      <c r="F19" s="13" t="n">
        <v>1</v>
      </c>
      <c r="G19" s="13" t="s">
        <v>71</v>
      </c>
      <c r="H19" s="13" t="n">
        <f aca="false">MOD(INT(HEX2DEC(G19)/2^E19),2^F19)</f>
        <v>0</v>
      </c>
      <c r="I19" s="12" t="s">
        <v>76</v>
      </c>
      <c r="J19" s="12" t="s">
        <v>76</v>
      </c>
      <c r="K19" s="12" t="s">
        <v>3</v>
      </c>
      <c r="L19" s="12"/>
    </row>
    <row r="20" customFormat="false" ht="15" hidden="false" customHeight="false" outlineLevel="0" collapsed="false">
      <c r="A20" s="12" t="s">
        <v>67</v>
      </c>
      <c r="B20" s="12" t="s">
        <v>94</v>
      </c>
      <c r="C20" s="12" t="s">
        <v>95</v>
      </c>
      <c r="D20" s="13" t="s">
        <v>70</v>
      </c>
      <c r="E20" s="13" t="n">
        <v>6</v>
      </c>
      <c r="F20" s="13" t="n">
        <v>1</v>
      </c>
      <c r="G20" s="13" t="s">
        <v>71</v>
      </c>
      <c r="H20" s="13" t="n">
        <f aca="false">MOD(INT(HEX2DEC(G20)/2^E20),2^F20)</f>
        <v>1</v>
      </c>
      <c r="I20" s="12" t="s">
        <v>66</v>
      </c>
      <c r="J20" s="12" t="s">
        <v>66</v>
      </c>
      <c r="K20" s="12" t="s">
        <v>3</v>
      </c>
      <c r="L20" s="12" t="s">
        <v>83</v>
      </c>
    </row>
    <row r="21" customFormat="false" ht="15" hidden="false" customHeight="false" outlineLevel="0" collapsed="false">
      <c r="A21" s="12" t="s">
        <v>96</v>
      </c>
      <c r="B21" s="12" t="s">
        <v>97</v>
      </c>
      <c r="C21" s="12" t="s">
        <v>98</v>
      </c>
      <c r="D21" s="13" t="s">
        <v>99</v>
      </c>
      <c r="E21" s="13" t="n">
        <v>4</v>
      </c>
      <c r="F21" s="13" t="n">
        <v>1</v>
      </c>
      <c r="G21" s="13" t="s">
        <v>100</v>
      </c>
      <c r="H21" s="13" t="n">
        <f aca="false">MOD(INT(HEX2DEC(G21)/2^E21),2^F21)</f>
        <v>1</v>
      </c>
      <c r="I21" s="12" t="s">
        <v>66</v>
      </c>
      <c r="J21" s="12" t="s">
        <v>66</v>
      </c>
      <c r="K21" s="12" t="s">
        <v>3</v>
      </c>
      <c r="L21" s="12"/>
    </row>
    <row r="22" customFormat="false" ht="15" hidden="false" customHeight="false" outlineLevel="0" collapsed="false">
      <c r="A22" s="12" t="s">
        <v>96</v>
      </c>
      <c r="B22" s="12" t="s">
        <v>101</v>
      </c>
      <c r="C22" s="12" t="s">
        <v>102</v>
      </c>
      <c r="D22" s="13" t="s">
        <v>99</v>
      </c>
      <c r="E22" s="13" t="n">
        <v>0</v>
      </c>
      <c r="F22" s="13" t="n">
        <v>1</v>
      </c>
      <c r="G22" s="13" t="s">
        <v>100</v>
      </c>
      <c r="H22" s="13" t="n">
        <f aca="false">MOD(INT(HEX2DEC(G22)/2^E22),2^F22)</f>
        <v>1</v>
      </c>
      <c r="I22" s="12" t="s">
        <v>66</v>
      </c>
      <c r="J22" s="12" t="s">
        <v>66</v>
      </c>
      <c r="K22" s="12" t="s">
        <v>3</v>
      </c>
      <c r="L22" s="12"/>
    </row>
    <row r="23" customFormat="false" ht="15" hidden="false" customHeight="false" outlineLevel="0" collapsed="false">
      <c r="A23" s="12" t="s">
        <v>96</v>
      </c>
      <c r="B23" s="12" t="s">
        <v>103</v>
      </c>
      <c r="C23" s="12" t="s">
        <v>104</v>
      </c>
      <c r="D23" s="13" t="s">
        <v>99</v>
      </c>
      <c r="E23" s="13" t="n">
        <v>3</v>
      </c>
      <c r="F23" s="13" t="n">
        <v>1</v>
      </c>
      <c r="G23" s="13" t="s">
        <v>100</v>
      </c>
      <c r="H23" s="13" t="n">
        <f aca="false">MOD(INT(HEX2DEC(G23)/2^E23),2^F23)</f>
        <v>1</v>
      </c>
      <c r="I23" s="12" t="s">
        <v>105</v>
      </c>
      <c r="J23" s="12" t="s">
        <v>106</v>
      </c>
      <c r="K23" s="12" t="s">
        <v>3</v>
      </c>
      <c r="L23" s="12" t="s">
        <v>107</v>
      </c>
    </row>
    <row r="24" customFormat="false" ht="15" hidden="false" customHeight="false" outlineLevel="0" collapsed="false">
      <c r="A24" s="12" t="s">
        <v>96</v>
      </c>
      <c r="B24" s="12" t="s">
        <v>108</v>
      </c>
      <c r="C24" s="12" t="s">
        <v>109</v>
      </c>
      <c r="D24" s="13" t="s">
        <v>110</v>
      </c>
      <c r="E24" s="13" t="n">
        <v>0</v>
      </c>
      <c r="F24" s="13" t="n">
        <v>8</v>
      </c>
      <c r="G24" s="13" t="s">
        <v>111</v>
      </c>
      <c r="H24" s="13" t="n">
        <f aca="false">MOD(INT(HEX2DEC(G24)/2^E24),2^F24)</f>
        <v>4</v>
      </c>
      <c r="I24" s="12" t="s">
        <v>112</v>
      </c>
      <c r="J24" s="12" t="s">
        <v>113</v>
      </c>
      <c r="K24" s="12" t="s">
        <v>4</v>
      </c>
      <c r="L24" s="12" t="s">
        <v>114</v>
      </c>
    </row>
    <row r="25" customFormat="false" ht="15" hidden="false" customHeight="false" outlineLevel="0" collapsed="false">
      <c r="A25" s="12" t="s">
        <v>96</v>
      </c>
      <c r="B25" s="12" t="s">
        <v>115</v>
      </c>
      <c r="C25" s="12" t="s">
        <v>116</v>
      </c>
      <c r="D25" s="13" t="s">
        <v>117</v>
      </c>
      <c r="E25" s="13" t="n">
        <v>0</v>
      </c>
      <c r="F25" s="13" t="n">
        <v>8</v>
      </c>
      <c r="G25" s="13" t="s">
        <v>65</v>
      </c>
      <c r="H25" s="13" t="n">
        <f aca="false">MOD(INT(HEX2DEC(G25)/2^E25),2^F25)</f>
        <v>1</v>
      </c>
      <c r="I25" s="12" t="s">
        <v>118</v>
      </c>
      <c r="J25" s="12" t="s">
        <v>118</v>
      </c>
      <c r="K25" s="12" t="s">
        <v>3</v>
      </c>
      <c r="L25" s="12"/>
    </row>
    <row r="26" customFormat="false" ht="15" hidden="false" customHeight="false" outlineLevel="0" collapsed="false">
      <c r="A26" s="12" t="s">
        <v>96</v>
      </c>
      <c r="B26" s="12" t="s">
        <v>119</v>
      </c>
      <c r="C26" s="12" t="s">
        <v>120</v>
      </c>
      <c r="D26" s="13" t="s">
        <v>121</v>
      </c>
      <c r="E26" s="13" t="n">
        <v>0</v>
      </c>
      <c r="F26" s="13" t="n">
        <v>8</v>
      </c>
      <c r="G26" s="13" t="s">
        <v>122</v>
      </c>
      <c r="H26" s="13" t="n">
        <f aca="false">MOD(INT(HEX2DEC(G26)/2^E26),2^F26)</f>
        <v>2</v>
      </c>
      <c r="I26" s="12" t="s">
        <v>123</v>
      </c>
      <c r="J26" s="12" t="s">
        <v>124</v>
      </c>
      <c r="K26" s="12" t="s">
        <v>3</v>
      </c>
      <c r="L26" s="12"/>
    </row>
    <row r="27" customFormat="false" ht="15" hidden="false" customHeight="false" outlineLevel="0" collapsed="false">
      <c r="A27" s="12" t="s">
        <v>96</v>
      </c>
      <c r="B27" s="12" t="s">
        <v>125</v>
      </c>
      <c r="C27" s="12" t="s">
        <v>126</v>
      </c>
      <c r="D27" s="13" t="s">
        <v>127</v>
      </c>
      <c r="E27" s="13" t="n">
        <v>0</v>
      </c>
      <c r="F27" s="13" t="n">
        <v>8</v>
      </c>
      <c r="G27" s="13" t="s">
        <v>128</v>
      </c>
      <c r="H27" s="13" t="n">
        <f aca="false">MOD(INT(HEX2DEC(G27)/2^E27),2^F27)</f>
        <v>6</v>
      </c>
      <c r="I27" s="12" t="s">
        <v>129</v>
      </c>
      <c r="J27" s="12" t="s">
        <v>129</v>
      </c>
      <c r="K27" s="12" t="s">
        <v>3</v>
      </c>
      <c r="L27" s="12"/>
    </row>
    <row r="28" customFormat="false" ht="15" hidden="false" customHeight="false" outlineLevel="0" collapsed="false">
      <c r="A28" s="12" t="s">
        <v>96</v>
      </c>
      <c r="B28" s="12" t="s">
        <v>130</v>
      </c>
      <c r="C28" s="12" t="s">
        <v>131</v>
      </c>
      <c r="D28" s="13" t="s">
        <v>132</v>
      </c>
      <c r="E28" s="13" t="n">
        <v>0</v>
      </c>
      <c r="F28" s="13" t="n">
        <v>8</v>
      </c>
      <c r="G28" s="13" t="s">
        <v>133</v>
      </c>
      <c r="H28" s="13" t="n">
        <f aca="false">MOD(INT(HEX2DEC(G28)/2^E28),2^F28)</f>
        <v>5</v>
      </c>
      <c r="I28" s="12" t="s">
        <v>134</v>
      </c>
      <c r="J28" s="12" t="s">
        <v>134</v>
      </c>
      <c r="K28" s="12" t="s">
        <v>3</v>
      </c>
      <c r="L28" s="12"/>
    </row>
    <row r="29" customFormat="false" ht="15" hidden="false" customHeight="false" outlineLevel="0" collapsed="false">
      <c r="A29" s="12" t="s">
        <v>96</v>
      </c>
      <c r="B29" s="12" t="s">
        <v>135</v>
      </c>
      <c r="C29" s="12" t="s">
        <v>136</v>
      </c>
      <c r="D29" s="13" t="s">
        <v>137</v>
      </c>
      <c r="E29" s="13" t="n">
        <v>0</v>
      </c>
      <c r="F29" s="13" t="n">
        <v>8</v>
      </c>
      <c r="G29" s="13" t="s">
        <v>122</v>
      </c>
      <c r="H29" s="13" t="n">
        <f aca="false">MOD(INT(HEX2DEC(G29)/2^E29),2^F29)</f>
        <v>2</v>
      </c>
      <c r="I29" s="12" t="s">
        <v>138</v>
      </c>
      <c r="J29" s="12" t="s">
        <v>138</v>
      </c>
      <c r="K29" s="12" t="s">
        <v>3</v>
      </c>
      <c r="L29" s="12"/>
    </row>
    <row r="30" customFormat="false" ht="15" hidden="false" customHeight="false" outlineLevel="0" collapsed="false">
      <c r="A30" s="12" t="s">
        <v>96</v>
      </c>
      <c r="B30" s="12" t="s">
        <v>139</v>
      </c>
      <c r="C30" s="12" t="s">
        <v>140</v>
      </c>
      <c r="D30" s="13" t="s">
        <v>141</v>
      </c>
      <c r="E30" s="13" t="n">
        <v>0</v>
      </c>
      <c r="F30" s="13" t="n">
        <v>8</v>
      </c>
      <c r="G30" s="13" t="s">
        <v>111</v>
      </c>
      <c r="H30" s="13" t="n">
        <f aca="false">MOD(INT(HEX2DEC(G30)/2^E30),2^F30)</f>
        <v>4</v>
      </c>
      <c r="I30" s="12" t="s">
        <v>142</v>
      </c>
      <c r="J30" s="12" t="s">
        <v>142</v>
      </c>
      <c r="K30" s="12" t="s">
        <v>3</v>
      </c>
      <c r="L30" s="12"/>
    </row>
    <row r="31" customFormat="false" ht="15" hidden="false" customHeight="false" outlineLevel="0" collapsed="false">
      <c r="A31" s="12" t="s">
        <v>96</v>
      </c>
      <c r="B31" s="12" t="s">
        <v>143</v>
      </c>
      <c r="C31" s="12" t="s">
        <v>144</v>
      </c>
      <c r="D31" s="13" t="s">
        <v>145</v>
      </c>
      <c r="E31" s="13" t="n">
        <v>0</v>
      </c>
      <c r="F31" s="13" t="n">
        <v>8</v>
      </c>
      <c r="G31" s="13" t="s">
        <v>146</v>
      </c>
      <c r="H31" s="13" t="n">
        <f aca="false">MOD(INT(HEX2DEC(G31)/2^E31),2^F31)</f>
        <v>7</v>
      </c>
      <c r="I31" s="12" t="s">
        <v>147</v>
      </c>
      <c r="J31" s="12" t="s">
        <v>147</v>
      </c>
      <c r="K31" s="12" t="s">
        <v>3</v>
      </c>
      <c r="L31" s="12"/>
    </row>
    <row r="32" customFormat="false" ht="15" hidden="false" customHeight="false" outlineLevel="0" collapsed="false">
      <c r="A32" s="12" t="s">
        <v>96</v>
      </c>
      <c r="B32" s="12" t="s">
        <v>148</v>
      </c>
      <c r="C32" s="12" t="s">
        <v>149</v>
      </c>
      <c r="D32" s="13" t="s">
        <v>150</v>
      </c>
      <c r="E32" s="13" t="n">
        <v>0</v>
      </c>
      <c r="F32" s="13" t="n">
        <v>8</v>
      </c>
      <c r="G32" s="13" t="s">
        <v>151</v>
      </c>
      <c r="H32" s="13" t="n">
        <f aca="false">MOD(INT(HEX2DEC(G32)/2^E32),2^F32)</f>
        <v>3</v>
      </c>
      <c r="I32" s="12" t="s">
        <v>152</v>
      </c>
      <c r="J32" s="12" t="s">
        <v>152</v>
      </c>
      <c r="K32" s="12" t="s">
        <v>3</v>
      </c>
      <c r="L32" s="12" t="s">
        <v>153</v>
      </c>
    </row>
    <row r="33" customFormat="false" ht="15" hidden="false" customHeight="false" outlineLevel="0" collapsed="false">
      <c r="A33" s="12" t="s">
        <v>154</v>
      </c>
      <c r="B33" s="12" t="s">
        <v>155</v>
      </c>
      <c r="C33" s="12" t="s">
        <v>156</v>
      </c>
      <c r="D33" s="13" t="s">
        <v>157</v>
      </c>
      <c r="E33" s="13" t="n">
        <v>0</v>
      </c>
      <c r="F33" s="13" t="n">
        <v>1</v>
      </c>
      <c r="G33" s="13" t="s">
        <v>158</v>
      </c>
      <c r="H33" s="13" t="n">
        <f aca="false">MOD(INT(HEX2DEC(G33)/2^E33),2^F33)</f>
        <v>1</v>
      </c>
      <c r="I33" s="12" t="s">
        <v>66</v>
      </c>
      <c r="J33" s="12" t="s">
        <v>76</v>
      </c>
      <c r="K33" s="12" t="s">
        <v>4</v>
      </c>
      <c r="L33" s="12" t="s">
        <v>114</v>
      </c>
    </row>
    <row r="34" customFormat="false" ht="15" hidden="false" customHeight="false" outlineLevel="0" collapsed="false">
      <c r="A34" s="12" t="s">
        <v>154</v>
      </c>
      <c r="B34" s="12" t="s">
        <v>159</v>
      </c>
      <c r="C34" s="12" t="s">
        <v>160</v>
      </c>
      <c r="D34" s="13" t="s">
        <v>157</v>
      </c>
      <c r="E34" s="13" t="n">
        <v>3</v>
      </c>
      <c r="F34" s="13" t="n">
        <v>2</v>
      </c>
      <c r="G34" s="13" t="s">
        <v>158</v>
      </c>
      <c r="H34" s="13" t="n">
        <f aca="false">MOD(INT(HEX2DEC(G34)/2^E34),2^F34)</f>
        <v>1</v>
      </c>
      <c r="I34" s="12" t="s">
        <v>161</v>
      </c>
      <c r="J34" s="12" t="s">
        <v>162</v>
      </c>
      <c r="K34" s="12" t="s">
        <v>4</v>
      </c>
      <c r="L34" s="12" t="s">
        <v>114</v>
      </c>
    </row>
    <row r="35" customFormat="false" ht="15" hidden="false" customHeight="false" outlineLevel="0" collapsed="false">
      <c r="A35" s="12" t="s">
        <v>154</v>
      </c>
      <c r="B35" s="12" t="s">
        <v>163</v>
      </c>
      <c r="C35" s="12" t="s">
        <v>164</v>
      </c>
      <c r="D35" s="13" t="s">
        <v>165</v>
      </c>
      <c r="E35" s="13" t="n">
        <v>0</v>
      </c>
      <c r="F35" s="13" t="n">
        <v>8</v>
      </c>
      <c r="G35" s="13" t="s">
        <v>166</v>
      </c>
      <c r="H35" s="13" t="n">
        <f aca="false">MOD(INT(HEX2DEC(G35)/2^E35),2^F35)</f>
        <v>20</v>
      </c>
      <c r="I35" s="12" t="s">
        <v>167</v>
      </c>
      <c r="J35" s="12" t="s">
        <v>168</v>
      </c>
      <c r="K35" s="12" t="s">
        <v>4</v>
      </c>
      <c r="L35" s="12" t="s">
        <v>114</v>
      </c>
    </row>
    <row r="36" customFormat="false" ht="23.85" hidden="false" customHeight="false" outlineLevel="0" collapsed="false">
      <c r="A36" s="12" t="s">
        <v>154</v>
      </c>
      <c r="B36" s="12" t="s">
        <v>169</v>
      </c>
      <c r="C36" s="12" t="s">
        <v>170</v>
      </c>
      <c r="D36" s="13" t="s">
        <v>171</v>
      </c>
      <c r="E36" s="13" t="n">
        <v>0</v>
      </c>
      <c r="F36" s="13" t="n">
        <v>8</v>
      </c>
      <c r="G36" s="13" t="s">
        <v>133</v>
      </c>
      <c r="H36" s="13" t="n">
        <f aca="false">MOD(INT(HEX2DEC(G36)/2^E36),2^F36)</f>
        <v>5</v>
      </c>
      <c r="I36" s="12" t="s">
        <v>172</v>
      </c>
      <c r="J36" s="12" t="s">
        <v>113</v>
      </c>
      <c r="K36" s="12" t="s">
        <v>5</v>
      </c>
      <c r="L36" s="12" t="s">
        <v>173</v>
      </c>
    </row>
    <row r="37" customFormat="false" ht="15" hidden="false" customHeight="false" outlineLevel="0" collapsed="false">
      <c r="A37" s="12" t="s">
        <v>154</v>
      </c>
      <c r="B37" s="12" t="s">
        <v>174</v>
      </c>
      <c r="C37" s="12" t="s">
        <v>175</v>
      </c>
      <c r="D37" s="13" t="s">
        <v>157</v>
      </c>
      <c r="E37" s="13" t="n">
        <v>6</v>
      </c>
      <c r="F37" s="13" t="n">
        <v>1</v>
      </c>
      <c r="G37" s="13" t="s">
        <v>158</v>
      </c>
      <c r="H37" s="13" t="n">
        <f aca="false">MOD(INT(HEX2DEC(G37)/2^E37),2^F37)</f>
        <v>1</v>
      </c>
      <c r="I37" s="12" t="s">
        <v>176</v>
      </c>
      <c r="J37" s="12" t="s">
        <v>176</v>
      </c>
      <c r="K37" s="12" t="s">
        <v>3</v>
      </c>
      <c r="L37" s="12"/>
    </row>
    <row r="38" customFormat="false" ht="15" hidden="false" customHeight="false" outlineLevel="0" collapsed="false">
      <c r="A38" s="12" t="s">
        <v>177</v>
      </c>
      <c r="B38" s="12" t="s">
        <v>178</v>
      </c>
      <c r="C38" s="12" t="s">
        <v>179</v>
      </c>
      <c r="D38" s="13" t="s">
        <v>180</v>
      </c>
      <c r="E38" s="13" t="n">
        <v>0</v>
      </c>
      <c r="F38" s="13" t="n">
        <v>1</v>
      </c>
      <c r="G38" s="13" t="s">
        <v>44</v>
      </c>
      <c r="H38" s="13" t="n">
        <f aca="false">MOD(INT(HEX2DEC(G38)/2^E38),2^F38)</f>
        <v>0</v>
      </c>
      <c r="I38" s="12" t="s">
        <v>76</v>
      </c>
      <c r="J38" s="12" t="s">
        <v>76</v>
      </c>
      <c r="K38" s="12" t="s">
        <v>3</v>
      </c>
      <c r="L38" s="12"/>
    </row>
    <row r="39" customFormat="false" ht="15" hidden="false" customHeight="false" outlineLevel="0" collapsed="false">
      <c r="A39" s="12" t="s">
        <v>177</v>
      </c>
      <c r="B39" s="12" t="s">
        <v>181</v>
      </c>
      <c r="C39" s="12" t="s">
        <v>182</v>
      </c>
      <c r="D39" s="13" t="s">
        <v>183</v>
      </c>
      <c r="E39" s="13" t="n">
        <v>2</v>
      </c>
      <c r="F39" s="13" t="n">
        <v>2</v>
      </c>
      <c r="G39" s="13" t="s">
        <v>44</v>
      </c>
      <c r="H39" s="13" t="n">
        <f aca="false">MOD(INT(HEX2DEC(G39)/2^E39),2^F39)</f>
        <v>0</v>
      </c>
      <c r="I39" s="12" t="s">
        <v>184</v>
      </c>
      <c r="J39" s="12" t="s">
        <v>185</v>
      </c>
      <c r="K39" s="12" t="s">
        <v>3</v>
      </c>
      <c r="L39" s="12"/>
    </row>
    <row r="40" customFormat="false" ht="15" hidden="false" customHeight="false" outlineLevel="0" collapsed="false">
      <c r="A40" s="12" t="s">
        <v>186</v>
      </c>
      <c r="B40" s="12" t="s">
        <v>187</v>
      </c>
      <c r="C40" s="12" t="s">
        <v>188</v>
      </c>
      <c r="D40" s="13" t="s">
        <v>189</v>
      </c>
      <c r="E40" s="13" t="n">
        <v>0</v>
      </c>
      <c r="F40" s="13" t="n">
        <v>8</v>
      </c>
      <c r="G40" s="13" t="s">
        <v>111</v>
      </c>
      <c r="H40" s="13" t="n">
        <f aca="false">MOD(INT(HEX2DEC(G40)/2^E40),2^F40)</f>
        <v>4</v>
      </c>
      <c r="I40" s="12" t="s">
        <v>190</v>
      </c>
      <c r="J40" s="12" t="s">
        <v>191</v>
      </c>
      <c r="K40" s="12" t="s">
        <v>3</v>
      </c>
      <c r="L40" s="12"/>
    </row>
    <row r="41" customFormat="false" ht="15" hidden="false" customHeight="false" outlineLevel="0" collapsed="false">
      <c r="A41" s="12" t="s">
        <v>186</v>
      </c>
      <c r="B41" s="12" t="s">
        <v>192</v>
      </c>
      <c r="C41" s="12" t="s">
        <v>193</v>
      </c>
      <c r="D41" s="13" t="s">
        <v>194</v>
      </c>
      <c r="E41" s="13" t="n">
        <v>0</v>
      </c>
      <c r="F41" s="13" t="n">
        <v>8</v>
      </c>
      <c r="G41" s="13" t="s">
        <v>195</v>
      </c>
      <c r="H41" s="13" t="n">
        <f aca="false">MOD(INT(HEX2DEC(G41)/2^E41),2^F41)</f>
        <v>12</v>
      </c>
      <c r="I41" s="12" t="s">
        <v>196</v>
      </c>
      <c r="J41" s="12" t="s">
        <v>197</v>
      </c>
      <c r="K41" s="12" t="s">
        <v>4</v>
      </c>
      <c r="L41" s="12" t="s">
        <v>114</v>
      </c>
    </row>
    <row r="42" customFormat="false" ht="15" hidden="false" customHeight="false" outlineLevel="0" collapsed="false">
      <c r="A42" s="12" t="s">
        <v>186</v>
      </c>
      <c r="B42" s="12" t="s">
        <v>198</v>
      </c>
      <c r="C42" s="12" t="s">
        <v>199</v>
      </c>
      <c r="D42" s="13" t="s">
        <v>200</v>
      </c>
      <c r="E42" s="13" t="n">
        <v>0</v>
      </c>
      <c r="F42" s="13" t="n">
        <v>8</v>
      </c>
      <c r="G42" s="13" t="s">
        <v>151</v>
      </c>
      <c r="H42" s="13" t="n">
        <f aca="false">MOD(INT(HEX2DEC(G42)/2^E42),2^F42)</f>
        <v>3</v>
      </c>
      <c r="I42" s="12" t="s">
        <v>201</v>
      </c>
      <c r="J42" s="12" t="s">
        <v>201</v>
      </c>
      <c r="K42" s="12" t="s">
        <v>3</v>
      </c>
      <c r="L42" s="12"/>
    </row>
    <row r="43" customFormat="false" ht="15" hidden="false" customHeight="false" outlineLevel="0" collapsed="false">
      <c r="A43" s="12" t="s">
        <v>186</v>
      </c>
      <c r="B43" s="12" t="s">
        <v>202</v>
      </c>
      <c r="C43" s="12" t="s">
        <v>203</v>
      </c>
      <c r="D43" s="13" t="s">
        <v>204</v>
      </c>
      <c r="E43" s="13" t="n">
        <v>0</v>
      </c>
      <c r="F43" s="13" t="n">
        <v>8</v>
      </c>
      <c r="G43" s="13" t="s">
        <v>151</v>
      </c>
      <c r="H43" s="13" t="n">
        <f aca="false">MOD(INT(HEX2DEC(G43)/2^E43),2^F43)</f>
        <v>3</v>
      </c>
      <c r="I43" s="12" t="s">
        <v>205</v>
      </c>
      <c r="J43" s="12" t="s">
        <v>206</v>
      </c>
      <c r="K43" s="12" t="s">
        <v>3</v>
      </c>
      <c r="L43" s="12"/>
    </row>
    <row r="44" customFormat="false" ht="15" hidden="false" customHeight="false" outlineLevel="0" collapsed="false">
      <c r="A44" s="12" t="s">
        <v>186</v>
      </c>
      <c r="B44" s="12" t="s">
        <v>207</v>
      </c>
      <c r="C44" s="12" t="s">
        <v>208</v>
      </c>
      <c r="D44" s="13" t="s">
        <v>209</v>
      </c>
      <c r="E44" s="13" t="n">
        <v>1</v>
      </c>
      <c r="F44" s="13" t="n">
        <v>2</v>
      </c>
      <c r="G44" s="13" t="s">
        <v>210</v>
      </c>
      <c r="H44" s="13" t="n">
        <f aca="false">MOD(INT(HEX2DEC(G44)/2^E44),2^F44)</f>
        <v>1</v>
      </c>
      <c r="I44" s="12" t="s">
        <v>211</v>
      </c>
      <c r="J44" s="12" t="s">
        <v>212</v>
      </c>
      <c r="K44" s="12" t="s">
        <v>3</v>
      </c>
      <c r="L44" s="12"/>
    </row>
    <row r="45" customFormat="false" ht="15" hidden="false" customHeight="false" outlineLevel="0" collapsed="false">
      <c r="A45" s="12" t="s">
        <v>186</v>
      </c>
      <c r="B45" s="12" t="s">
        <v>213</v>
      </c>
      <c r="C45" s="12" t="s">
        <v>214</v>
      </c>
      <c r="D45" s="13" t="s">
        <v>215</v>
      </c>
      <c r="E45" s="13" t="n">
        <v>0</v>
      </c>
      <c r="F45" s="13" t="n">
        <v>8</v>
      </c>
      <c r="G45" s="13" t="s">
        <v>44</v>
      </c>
      <c r="H45" s="13" t="n">
        <f aca="false">MOD(INT(HEX2DEC(G45)/2^E45),2^F45)</f>
        <v>0</v>
      </c>
      <c r="I45" s="12" t="s">
        <v>123</v>
      </c>
      <c r="J45" s="12" t="s">
        <v>124</v>
      </c>
      <c r="K45" s="12" t="s">
        <v>3</v>
      </c>
      <c r="L45" s="12"/>
    </row>
    <row r="46" customFormat="false" ht="15" hidden="false" customHeight="false" outlineLevel="0" collapsed="false">
      <c r="A46" s="12" t="s">
        <v>186</v>
      </c>
      <c r="B46" s="12" t="s">
        <v>216</v>
      </c>
      <c r="C46" s="12" t="s">
        <v>217</v>
      </c>
      <c r="D46" s="13" t="s">
        <v>218</v>
      </c>
      <c r="E46" s="13" t="n">
        <v>4</v>
      </c>
      <c r="F46" s="13" t="n">
        <v>1</v>
      </c>
      <c r="G46" s="13" t="s">
        <v>44</v>
      </c>
      <c r="H46" s="13" t="n">
        <f aca="false">MOD(INT(HEX2DEC(G46)/2^E46),2^F46)</f>
        <v>0</v>
      </c>
      <c r="I46" s="12" t="s">
        <v>219</v>
      </c>
      <c r="J46" s="12" t="s">
        <v>219</v>
      </c>
      <c r="K46" s="12" t="s">
        <v>3</v>
      </c>
      <c r="L46" s="12"/>
    </row>
    <row r="47" customFormat="false" ht="15" hidden="false" customHeight="false" outlineLevel="0" collapsed="false">
      <c r="A47" s="12" t="s">
        <v>186</v>
      </c>
      <c r="B47" s="12" t="s">
        <v>220</v>
      </c>
      <c r="C47" s="12" t="s">
        <v>221</v>
      </c>
      <c r="D47" s="13" t="s">
        <v>218</v>
      </c>
      <c r="E47" s="13" t="n">
        <v>3</v>
      </c>
      <c r="F47" s="13" t="n">
        <v>1</v>
      </c>
      <c r="G47" s="13" t="s">
        <v>44</v>
      </c>
      <c r="H47" s="13" t="n">
        <f aca="false">MOD(INT(HEX2DEC(G47)/2^E47),2^F47)</f>
        <v>0</v>
      </c>
      <c r="I47" s="12" t="s">
        <v>222</v>
      </c>
      <c r="J47" s="12" t="s">
        <v>222</v>
      </c>
      <c r="K47" s="12" t="s">
        <v>3</v>
      </c>
      <c r="L47" s="12"/>
    </row>
    <row r="48" customFormat="false" ht="15" hidden="false" customHeight="false" outlineLevel="0" collapsed="false">
      <c r="A48" s="12" t="s">
        <v>186</v>
      </c>
      <c r="B48" s="12" t="s">
        <v>223</v>
      </c>
      <c r="C48" s="12" t="s">
        <v>224</v>
      </c>
      <c r="D48" s="13" t="s">
        <v>218</v>
      </c>
      <c r="E48" s="13" t="n">
        <v>2</v>
      </c>
      <c r="F48" s="13" t="n">
        <v>1</v>
      </c>
      <c r="G48" s="13" t="s">
        <v>44</v>
      </c>
      <c r="H48" s="13" t="n">
        <f aca="false">MOD(INT(HEX2DEC(G48)/2^E48),2^F48)</f>
        <v>0</v>
      </c>
      <c r="I48" s="12" t="s">
        <v>225</v>
      </c>
      <c r="J48" s="12" t="s">
        <v>226</v>
      </c>
      <c r="K48" s="12" t="s">
        <v>5</v>
      </c>
      <c r="L48" s="12" t="s">
        <v>227</v>
      </c>
    </row>
    <row r="49" customFormat="false" ht="15" hidden="false" customHeight="false" outlineLevel="0" collapsed="false">
      <c r="A49" s="12" t="s">
        <v>186</v>
      </c>
      <c r="B49" s="12" t="s">
        <v>228</v>
      </c>
      <c r="C49" s="12" t="s">
        <v>229</v>
      </c>
      <c r="D49" s="13" t="s">
        <v>209</v>
      </c>
      <c r="E49" s="13" t="n">
        <v>6</v>
      </c>
      <c r="F49" s="13" t="n">
        <v>1</v>
      </c>
      <c r="G49" s="13" t="s">
        <v>210</v>
      </c>
      <c r="H49" s="13" t="n">
        <f aca="false">MOD(INT(HEX2DEC(G49)/2^E49),2^F49)</f>
        <v>0</v>
      </c>
      <c r="I49" s="12" t="s">
        <v>76</v>
      </c>
      <c r="J49" s="12" t="s">
        <v>76</v>
      </c>
      <c r="K49" s="12" t="s">
        <v>3</v>
      </c>
      <c r="L49" s="12"/>
    </row>
    <row r="50" customFormat="false" ht="15" hidden="false" customHeight="false" outlineLevel="0" collapsed="false">
      <c r="A50" s="12" t="s">
        <v>186</v>
      </c>
      <c r="B50" s="12" t="s">
        <v>230</v>
      </c>
      <c r="C50" s="12" t="s">
        <v>231</v>
      </c>
      <c r="D50" s="13" t="s">
        <v>209</v>
      </c>
      <c r="E50" s="13" t="n">
        <v>7</v>
      </c>
      <c r="F50" s="13" t="n">
        <v>1</v>
      </c>
      <c r="G50" s="13" t="s">
        <v>210</v>
      </c>
      <c r="H50" s="13" t="n">
        <f aca="false">MOD(INT(HEX2DEC(G50)/2^E50),2^F50)</f>
        <v>0</v>
      </c>
      <c r="I50" s="12" t="s">
        <v>76</v>
      </c>
      <c r="J50" s="12" t="s">
        <v>76</v>
      </c>
      <c r="K50" s="12" t="s">
        <v>3</v>
      </c>
      <c r="L50" s="12"/>
    </row>
    <row r="51" customFormat="false" ht="15" hidden="false" customHeight="false" outlineLevel="0" collapsed="false">
      <c r="A51" s="12" t="s">
        <v>186</v>
      </c>
      <c r="B51" s="12" t="s">
        <v>232</v>
      </c>
      <c r="C51" s="12" t="s">
        <v>233</v>
      </c>
      <c r="D51" s="13" t="s">
        <v>209</v>
      </c>
      <c r="E51" s="13" t="n">
        <v>3</v>
      </c>
      <c r="F51" s="13" t="n">
        <v>1</v>
      </c>
      <c r="G51" s="13" t="s">
        <v>210</v>
      </c>
      <c r="H51" s="13" t="n">
        <f aca="false">MOD(INT(HEX2DEC(G51)/2^E51),2^F51)</f>
        <v>1</v>
      </c>
      <c r="I51" s="12" t="s">
        <v>66</v>
      </c>
      <c r="J51" s="12" t="s">
        <v>66</v>
      </c>
      <c r="K51" s="12" t="s">
        <v>3</v>
      </c>
      <c r="L51" s="12"/>
    </row>
    <row r="52" customFormat="false" ht="15" hidden="false" customHeight="false" outlineLevel="0" collapsed="false">
      <c r="A52" s="12" t="s">
        <v>186</v>
      </c>
      <c r="B52" s="12" t="s">
        <v>234</v>
      </c>
      <c r="C52" s="12" t="s">
        <v>235</v>
      </c>
      <c r="D52" s="13" t="s">
        <v>209</v>
      </c>
      <c r="E52" s="13" t="n">
        <v>4</v>
      </c>
      <c r="F52" s="13" t="n">
        <v>1</v>
      </c>
      <c r="G52" s="13" t="s">
        <v>210</v>
      </c>
      <c r="H52" s="13" t="n">
        <f aca="false">MOD(INT(HEX2DEC(G52)/2^E52),2^F52)</f>
        <v>0</v>
      </c>
      <c r="I52" s="12" t="s">
        <v>76</v>
      </c>
      <c r="J52" s="12" t="s">
        <v>76</v>
      </c>
      <c r="K52" s="12" t="s">
        <v>3</v>
      </c>
      <c r="L52" s="12"/>
    </row>
    <row r="53" customFormat="false" ht="15" hidden="false" customHeight="false" outlineLevel="0" collapsed="false">
      <c r="A53" s="12" t="s">
        <v>186</v>
      </c>
      <c r="B53" s="12" t="s">
        <v>236</v>
      </c>
      <c r="C53" s="12" t="s">
        <v>237</v>
      </c>
      <c r="D53" s="13" t="s">
        <v>209</v>
      </c>
      <c r="E53" s="13" t="n">
        <v>5</v>
      </c>
      <c r="F53" s="13" t="n">
        <v>1</v>
      </c>
      <c r="G53" s="13" t="s">
        <v>210</v>
      </c>
      <c r="H53" s="13" t="n">
        <f aca="false">MOD(INT(HEX2DEC(G53)/2^E53),2^F53)</f>
        <v>1</v>
      </c>
      <c r="I53" s="12" t="s">
        <v>66</v>
      </c>
      <c r="J53" s="12" t="s">
        <v>66</v>
      </c>
      <c r="K53" s="12" t="s">
        <v>3</v>
      </c>
      <c r="L53" s="12"/>
    </row>
    <row r="54" customFormat="false" ht="15" hidden="false" customHeight="false" outlineLevel="0" collapsed="false">
      <c r="A54" s="12" t="s">
        <v>186</v>
      </c>
      <c r="B54" s="12" t="s">
        <v>238</v>
      </c>
      <c r="C54" s="12" t="s">
        <v>239</v>
      </c>
      <c r="D54" s="13" t="s">
        <v>209</v>
      </c>
      <c r="E54" s="13" t="n">
        <v>0</v>
      </c>
      <c r="F54" s="13" t="n">
        <v>1</v>
      </c>
      <c r="G54" s="13" t="s">
        <v>210</v>
      </c>
      <c r="H54" s="13" t="n">
        <f aca="false">MOD(INT(HEX2DEC(G54)/2^E54),2^F54)</f>
        <v>1</v>
      </c>
      <c r="I54" s="12" t="s">
        <v>66</v>
      </c>
      <c r="J54" s="12" t="s">
        <v>66</v>
      </c>
      <c r="K54" s="12" t="s">
        <v>3</v>
      </c>
      <c r="L54" s="12"/>
    </row>
    <row r="55" customFormat="false" ht="15" hidden="false" customHeight="false" outlineLevel="0" collapsed="false">
      <c r="A55" s="12" t="s">
        <v>186</v>
      </c>
      <c r="B55" s="12" t="s">
        <v>240</v>
      </c>
      <c r="C55" s="12" t="s">
        <v>241</v>
      </c>
      <c r="D55" s="13" t="s">
        <v>242</v>
      </c>
      <c r="E55" s="13" t="n">
        <v>0</v>
      </c>
      <c r="F55" s="13" t="n">
        <v>1</v>
      </c>
      <c r="G55" s="13" t="s">
        <v>44</v>
      </c>
      <c r="H55" s="13" t="n">
        <f aca="false">MOD(INT(HEX2DEC(G55)/2^E55),2^F55)</f>
        <v>0</v>
      </c>
      <c r="I55" s="12" t="s">
        <v>76</v>
      </c>
      <c r="J55" s="12" t="s">
        <v>76</v>
      </c>
      <c r="K55" s="12" t="s">
        <v>3</v>
      </c>
      <c r="L55" s="12"/>
    </row>
    <row r="56" customFormat="false" ht="15" hidden="false" customHeight="false" outlineLevel="0" collapsed="false">
      <c r="A56" s="12" t="s">
        <v>186</v>
      </c>
      <c r="B56" s="12" t="s">
        <v>243</v>
      </c>
      <c r="C56" s="12" t="s">
        <v>244</v>
      </c>
      <c r="D56" s="13" t="s">
        <v>242</v>
      </c>
      <c r="E56" s="13" t="n">
        <v>1</v>
      </c>
      <c r="F56" s="13" t="n">
        <v>1</v>
      </c>
      <c r="G56" s="13" t="s">
        <v>44</v>
      </c>
      <c r="H56" s="13" t="n">
        <f aca="false">MOD(INT(HEX2DEC(G56)/2^E56),2^F56)</f>
        <v>0</v>
      </c>
      <c r="I56" s="12" t="s">
        <v>76</v>
      </c>
      <c r="J56" s="12" t="s">
        <v>76</v>
      </c>
      <c r="K56" s="12" t="s">
        <v>3</v>
      </c>
      <c r="L56" s="12"/>
    </row>
    <row r="57" customFormat="false" ht="15" hidden="false" customHeight="false" outlineLevel="0" collapsed="false">
      <c r="A57" s="12" t="s">
        <v>245</v>
      </c>
      <c r="B57" s="12" t="s">
        <v>246</v>
      </c>
      <c r="C57" s="12" t="s">
        <v>247</v>
      </c>
      <c r="D57" s="13" t="s">
        <v>248</v>
      </c>
      <c r="E57" s="13" t="n">
        <v>0</v>
      </c>
      <c r="F57" s="13" t="n">
        <v>1</v>
      </c>
      <c r="G57" s="13" t="s">
        <v>249</v>
      </c>
      <c r="H57" s="13" t="n">
        <f aca="false">MOD(INT(HEX2DEC(G57)/2^E57),2^F57)</f>
        <v>0</v>
      </c>
      <c r="I57" s="12" t="s">
        <v>76</v>
      </c>
      <c r="J57" s="12" t="s">
        <v>76</v>
      </c>
      <c r="K57" s="12" t="s">
        <v>3</v>
      </c>
      <c r="L57" s="12"/>
    </row>
    <row r="58" customFormat="false" ht="15" hidden="false" customHeight="false" outlineLevel="0" collapsed="false">
      <c r="A58" s="12" t="s">
        <v>245</v>
      </c>
      <c r="B58" s="12" t="s">
        <v>250</v>
      </c>
      <c r="C58" s="12" t="s">
        <v>251</v>
      </c>
      <c r="D58" s="13" t="s">
        <v>248</v>
      </c>
      <c r="E58" s="13" t="n">
        <v>1</v>
      </c>
      <c r="F58" s="13" t="n">
        <v>1</v>
      </c>
      <c r="G58" s="13" t="s">
        <v>249</v>
      </c>
      <c r="H58" s="13" t="n">
        <f aca="false">MOD(INT(HEX2DEC(G58)/2^E58),2^F58)</f>
        <v>1</v>
      </c>
      <c r="I58" s="12" t="s">
        <v>252</v>
      </c>
      <c r="J58" s="12" t="s">
        <v>253</v>
      </c>
      <c r="K58" s="12" t="s">
        <v>4</v>
      </c>
      <c r="L58" s="12" t="s">
        <v>114</v>
      </c>
    </row>
    <row r="59" customFormat="false" ht="15" hidden="false" customHeight="false" outlineLevel="0" collapsed="false">
      <c r="A59" s="12" t="s">
        <v>245</v>
      </c>
      <c r="B59" s="12" t="s">
        <v>254</v>
      </c>
      <c r="C59" s="12" t="s">
        <v>255</v>
      </c>
      <c r="D59" s="13" t="s">
        <v>248</v>
      </c>
      <c r="E59" s="13" t="n">
        <v>2</v>
      </c>
      <c r="F59" s="13" t="n">
        <v>1</v>
      </c>
      <c r="G59" s="13" t="s">
        <v>249</v>
      </c>
      <c r="H59" s="13" t="n">
        <f aca="false">MOD(INT(HEX2DEC(G59)/2^E59),2^F59)</f>
        <v>1</v>
      </c>
      <c r="I59" s="12" t="s">
        <v>252</v>
      </c>
      <c r="J59" s="12" t="s">
        <v>253</v>
      </c>
      <c r="K59" s="12" t="s">
        <v>4</v>
      </c>
      <c r="L59" s="12" t="s">
        <v>114</v>
      </c>
    </row>
    <row r="60" customFormat="false" ht="15" hidden="false" customHeight="false" outlineLevel="0" collapsed="false">
      <c r="A60" s="12" t="s">
        <v>245</v>
      </c>
      <c r="B60" s="12" t="s">
        <v>256</v>
      </c>
      <c r="C60" s="12" t="s">
        <v>257</v>
      </c>
      <c r="D60" s="13" t="s">
        <v>248</v>
      </c>
      <c r="E60" s="13" t="n">
        <v>3</v>
      </c>
      <c r="F60" s="13" t="n">
        <v>1</v>
      </c>
      <c r="G60" s="13" t="s">
        <v>249</v>
      </c>
      <c r="H60" s="13" t="n">
        <f aca="false">MOD(INT(HEX2DEC(G60)/2^E60),2^F60)</f>
        <v>1</v>
      </c>
      <c r="I60" s="12" t="s">
        <v>258</v>
      </c>
      <c r="J60" s="12" t="s">
        <v>259</v>
      </c>
      <c r="K60" s="12" t="s">
        <v>3</v>
      </c>
      <c r="L60" s="12"/>
    </row>
    <row r="61" customFormat="false" ht="15" hidden="false" customHeight="false" outlineLevel="0" collapsed="false">
      <c r="A61" s="12" t="s">
        <v>245</v>
      </c>
      <c r="B61" s="12" t="s">
        <v>260</v>
      </c>
      <c r="C61" s="12" t="s">
        <v>261</v>
      </c>
      <c r="D61" s="13" t="s">
        <v>248</v>
      </c>
      <c r="E61" s="13" t="n">
        <v>4</v>
      </c>
      <c r="F61" s="13" t="n">
        <v>1</v>
      </c>
      <c r="G61" s="13" t="s">
        <v>249</v>
      </c>
      <c r="H61" s="13" t="n">
        <f aca="false">MOD(INT(HEX2DEC(G61)/2^E61),2^F61)</f>
        <v>1</v>
      </c>
      <c r="I61" s="12" t="s">
        <v>258</v>
      </c>
      <c r="J61" s="12" t="s">
        <v>259</v>
      </c>
      <c r="K61" s="12" t="s">
        <v>3</v>
      </c>
      <c r="L61" s="12"/>
    </row>
    <row r="62" customFormat="false" ht="15" hidden="false" customHeight="false" outlineLevel="0" collapsed="false">
      <c r="A62" s="12" t="s">
        <v>245</v>
      </c>
      <c r="B62" s="12" t="s">
        <v>262</v>
      </c>
      <c r="C62" s="12" t="s">
        <v>263</v>
      </c>
      <c r="D62" s="13" t="s">
        <v>248</v>
      </c>
      <c r="E62" s="13" t="n">
        <v>5</v>
      </c>
      <c r="F62" s="13" t="n">
        <v>1</v>
      </c>
      <c r="G62" s="13" t="s">
        <v>249</v>
      </c>
      <c r="H62" s="13" t="n">
        <f aca="false">MOD(INT(HEX2DEC(G62)/2^E62),2^F62)</f>
        <v>1</v>
      </c>
      <c r="I62" s="12" t="s">
        <v>264</v>
      </c>
      <c r="J62" s="12" t="s">
        <v>265</v>
      </c>
      <c r="K62" s="12" t="s">
        <v>4</v>
      </c>
      <c r="L62" s="12" t="s">
        <v>114</v>
      </c>
    </row>
    <row r="63" customFormat="false" ht="15" hidden="false" customHeight="false" outlineLevel="0" collapsed="false">
      <c r="A63" s="12" t="s">
        <v>245</v>
      </c>
      <c r="B63" s="12" t="s">
        <v>266</v>
      </c>
      <c r="C63" s="12" t="s">
        <v>267</v>
      </c>
      <c r="D63" s="13" t="s">
        <v>248</v>
      </c>
      <c r="E63" s="13" t="n">
        <v>6</v>
      </c>
      <c r="F63" s="13" t="n">
        <v>2</v>
      </c>
      <c r="G63" s="13" t="s">
        <v>249</v>
      </c>
      <c r="H63" s="13" t="n">
        <f aca="false">MOD(INT(HEX2DEC(G63)/2^E63),2^F63)</f>
        <v>1</v>
      </c>
      <c r="I63" s="12" t="s">
        <v>268</v>
      </c>
      <c r="J63" s="12" t="s">
        <v>269</v>
      </c>
      <c r="K63" s="12" t="s">
        <v>3</v>
      </c>
      <c r="L63" s="12"/>
    </row>
    <row r="64" customFormat="false" ht="15" hidden="false" customHeight="false" outlineLevel="0" collapsed="false">
      <c r="A64" s="12" t="s">
        <v>245</v>
      </c>
      <c r="B64" s="12" t="s">
        <v>270</v>
      </c>
      <c r="C64" s="12" t="s">
        <v>271</v>
      </c>
      <c r="D64" s="13" t="s">
        <v>272</v>
      </c>
      <c r="E64" s="13" t="n">
        <v>0</v>
      </c>
      <c r="F64" s="13" t="n">
        <v>8</v>
      </c>
      <c r="G64" s="13" t="s">
        <v>65</v>
      </c>
      <c r="H64" s="13" t="n">
        <f aca="false">MOD(INT(HEX2DEC(G64)/2^E64),2^F64)</f>
        <v>1</v>
      </c>
      <c r="I64" s="12" t="s">
        <v>273</v>
      </c>
      <c r="J64" s="12" t="s">
        <v>274</v>
      </c>
      <c r="K64" s="12" t="s">
        <v>3</v>
      </c>
      <c r="L64" s="12"/>
    </row>
    <row r="65" customFormat="false" ht="15" hidden="false" customHeight="false" outlineLevel="0" collapsed="false">
      <c r="A65" s="12" t="s">
        <v>275</v>
      </c>
      <c r="B65" s="12" t="s">
        <v>276</v>
      </c>
      <c r="C65" s="12" t="s">
        <v>277</v>
      </c>
      <c r="D65" s="13" t="s">
        <v>278</v>
      </c>
      <c r="E65" s="13" t="n">
        <v>0</v>
      </c>
      <c r="F65" s="13" t="n">
        <v>1</v>
      </c>
      <c r="G65" s="13" t="s">
        <v>279</v>
      </c>
      <c r="H65" s="13" t="n">
        <f aca="false">MOD(INT(HEX2DEC(G65)/2^E65),2^F65)</f>
        <v>0</v>
      </c>
      <c r="I65" s="12" t="s">
        <v>76</v>
      </c>
      <c r="J65" s="12" t="s">
        <v>76</v>
      </c>
      <c r="K65" s="12" t="s">
        <v>3</v>
      </c>
      <c r="L65" s="12"/>
    </row>
    <row r="66" customFormat="false" ht="15" hidden="false" customHeight="false" outlineLevel="0" collapsed="false">
      <c r="A66" s="12" t="s">
        <v>275</v>
      </c>
      <c r="B66" s="12" t="s">
        <v>280</v>
      </c>
      <c r="C66" s="12" t="s">
        <v>281</v>
      </c>
      <c r="D66" s="13" t="s">
        <v>278</v>
      </c>
      <c r="E66" s="13" t="n">
        <v>2</v>
      </c>
      <c r="F66" s="13" t="n">
        <v>1</v>
      </c>
      <c r="G66" s="13" t="s">
        <v>279</v>
      </c>
      <c r="H66" s="13" t="n">
        <f aca="false">MOD(INT(HEX2DEC(G66)/2^E66),2^F66)</f>
        <v>1</v>
      </c>
      <c r="I66" s="12" t="s">
        <v>66</v>
      </c>
      <c r="J66" s="12" t="s">
        <v>66</v>
      </c>
      <c r="K66" s="12" t="s">
        <v>3</v>
      </c>
      <c r="L66" s="12"/>
    </row>
    <row r="67" customFormat="false" ht="15" hidden="false" customHeight="false" outlineLevel="0" collapsed="false">
      <c r="A67" s="12" t="s">
        <v>275</v>
      </c>
      <c r="B67" s="12" t="s">
        <v>282</v>
      </c>
      <c r="C67" s="12" t="s">
        <v>283</v>
      </c>
      <c r="D67" s="13" t="s">
        <v>284</v>
      </c>
      <c r="E67" s="13" t="n">
        <v>0</v>
      </c>
      <c r="F67" s="13" t="n">
        <v>8</v>
      </c>
      <c r="G67" s="13" t="s">
        <v>285</v>
      </c>
      <c r="H67" s="13" t="n">
        <f aca="false">MOD(INT(HEX2DEC(G67)/2^E67),2^F67)</f>
        <v>22</v>
      </c>
      <c r="I67" s="12" t="s">
        <v>286</v>
      </c>
      <c r="J67" s="12" t="s">
        <v>287</v>
      </c>
      <c r="K67" s="12" t="s">
        <v>4</v>
      </c>
      <c r="L67" s="12" t="s">
        <v>114</v>
      </c>
    </row>
    <row r="68" customFormat="false" ht="15" hidden="false" customHeight="false" outlineLevel="0" collapsed="false">
      <c r="A68" s="12" t="s">
        <v>275</v>
      </c>
      <c r="B68" s="12" t="s">
        <v>288</v>
      </c>
      <c r="C68" s="12" t="s">
        <v>289</v>
      </c>
      <c r="D68" s="13" t="s">
        <v>290</v>
      </c>
      <c r="E68" s="13" t="n">
        <v>0</v>
      </c>
      <c r="F68" s="13" t="n">
        <v>8</v>
      </c>
      <c r="G68" s="13" t="s">
        <v>133</v>
      </c>
      <c r="H68" s="13" t="n">
        <f aca="false">MOD(INT(HEX2DEC(G68)/2^E68),2^F68)</f>
        <v>5</v>
      </c>
      <c r="I68" s="12" t="s">
        <v>118</v>
      </c>
      <c r="J68" s="12" t="s">
        <v>113</v>
      </c>
      <c r="K68" s="12" t="s">
        <v>3</v>
      </c>
      <c r="L68" s="12"/>
    </row>
    <row r="69" customFormat="false" ht="15" hidden="false" customHeight="false" outlineLevel="0" collapsed="false">
      <c r="A69" s="12" t="s">
        <v>275</v>
      </c>
      <c r="B69" s="12" t="s">
        <v>291</v>
      </c>
      <c r="C69" s="12" t="s">
        <v>292</v>
      </c>
      <c r="D69" s="13" t="s">
        <v>293</v>
      </c>
      <c r="E69" s="13" t="n">
        <v>0</v>
      </c>
      <c r="F69" s="13" t="n">
        <v>8</v>
      </c>
      <c r="G69" s="13" t="s">
        <v>44</v>
      </c>
      <c r="H69" s="13" t="n">
        <f aca="false">MOD(INT(HEX2DEC(G69)/2^E69),2^F69)</f>
        <v>0</v>
      </c>
      <c r="I69" s="12" t="s">
        <v>45</v>
      </c>
      <c r="J69" s="12" t="s">
        <v>294</v>
      </c>
      <c r="K69" s="12" t="s">
        <v>4</v>
      </c>
      <c r="L69" s="12" t="s">
        <v>114</v>
      </c>
    </row>
    <row r="70" customFormat="false" ht="15" hidden="false" customHeight="false" outlineLevel="0" collapsed="false">
      <c r="A70" s="12" t="s">
        <v>275</v>
      </c>
      <c r="B70" s="12" t="s">
        <v>295</v>
      </c>
      <c r="C70" s="12" t="s">
        <v>296</v>
      </c>
      <c r="D70" s="13" t="s">
        <v>297</v>
      </c>
      <c r="E70" s="13" t="n">
        <v>0</v>
      </c>
      <c r="F70" s="13" t="n">
        <v>8</v>
      </c>
      <c r="G70" s="13" t="s">
        <v>298</v>
      </c>
      <c r="H70" s="13" t="n">
        <f aca="false">MOD(INT(HEX2DEC(G70)/2^E70),2^F70)</f>
        <v>10</v>
      </c>
      <c r="I70" s="12" t="s">
        <v>299</v>
      </c>
      <c r="J70" s="12" t="s">
        <v>300</v>
      </c>
      <c r="K70" s="12" t="s">
        <v>3</v>
      </c>
      <c r="L70" s="12"/>
    </row>
    <row r="71" customFormat="false" ht="15" hidden="false" customHeight="false" outlineLevel="0" collapsed="false">
      <c r="A71" s="12" t="s">
        <v>275</v>
      </c>
      <c r="B71" s="12" t="s">
        <v>301</v>
      </c>
      <c r="C71" s="12" t="s">
        <v>302</v>
      </c>
      <c r="D71" s="13" t="s">
        <v>278</v>
      </c>
      <c r="E71" s="13" t="n">
        <v>4</v>
      </c>
      <c r="F71" s="13" t="n">
        <v>2</v>
      </c>
      <c r="G71" s="13" t="s">
        <v>279</v>
      </c>
      <c r="H71" s="13" t="n">
        <f aca="false">MOD(INT(HEX2DEC(G71)/2^E71),2^F71)</f>
        <v>3</v>
      </c>
      <c r="I71" s="12" t="s">
        <v>303</v>
      </c>
      <c r="J71" s="12" t="s">
        <v>304</v>
      </c>
      <c r="K71" s="12" t="s">
        <v>3</v>
      </c>
      <c r="L71" s="12" t="s">
        <v>305</v>
      </c>
    </row>
    <row r="72" customFormat="false" ht="15" hidden="false" customHeight="false" outlineLevel="0" collapsed="false">
      <c r="A72" s="12" t="s">
        <v>275</v>
      </c>
      <c r="B72" s="12" t="s">
        <v>306</v>
      </c>
      <c r="C72" s="12" t="s">
        <v>307</v>
      </c>
      <c r="D72" s="13" t="s">
        <v>308</v>
      </c>
      <c r="E72" s="13" t="n">
        <v>0</v>
      </c>
      <c r="F72" s="13" t="n">
        <v>2</v>
      </c>
      <c r="G72" s="13" t="s">
        <v>309</v>
      </c>
      <c r="H72" s="13" t="n">
        <f aca="false">MOD(INT(HEX2DEC(G72)/2^E72),2^F72)</f>
        <v>3</v>
      </c>
      <c r="I72" s="12" t="s">
        <v>310</v>
      </c>
      <c r="J72" s="12" t="s">
        <v>311</v>
      </c>
      <c r="K72" s="12" t="s">
        <v>3</v>
      </c>
      <c r="L72" s="12"/>
    </row>
    <row r="73" customFormat="false" ht="15" hidden="false" customHeight="false" outlineLevel="0" collapsed="false">
      <c r="A73" s="12" t="s">
        <v>275</v>
      </c>
      <c r="B73" s="12" t="s">
        <v>312</v>
      </c>
      <c r="C73" s="12" t="s">
        <v>313</v>
      </c>
      <c r="D73" s="13" t="s">
        <v>308</v>
      </c>
      <c r="E73" s="13" t="n">
        <v>4</v>
      </c>
      <c r="F73" s="13" t="n">
        <v>2</v>
      </c>
      <c r="G73" s="13" t="s">
        <v>309</v>
      </c>
      <c r="H73" s="13" t="n">
        <f aca="false">MOD(INT(HEX2DEC(G73)/2^E73),2^F73)</f>
        <v>2</v>
      </c>
      <c r="I73" s="12" t="s">
        <v>314</v>
      </c>
      <c r="J73" s="12" t="s">
        <v>315</v>
      </c>
      <c r="K73" s="12" t="s">
        <v>3</v>
      </c>
      <c r="L73" s="12"/>
    </row>
    <row r="74" customFormat="false" ht="15" hidden="false" customHeight="false" outlineLevel="0" collapsed="false">
      <c r="A74" s="12" t="s">
        <v>275</v>
      </c>
      <c r="B74" s="12" t="s">
        <v>316</v>
      </c>
      <c r="C74" s="12" t="s">
        <v>317</v>
      </c>
      <c r="D74" s="13" t="s">
        <v>318</v>
      </c>
      <c r="E74" s="13" t="n">
        <v>0</v>
      </c>
      <c r="F74" s="13" t="n">
        <v>8</v>
      </c>
      <c r="G74" s="13" t="s">
        <v>111</v>
      </c>
      <c r="H74" s="13" t="n">
        <f aca="false">MOD(INT(HEX2DEC(G74)/2^E74),2^F74)</f>
        <v>4</v>
      </c>
      <c r="I74" s="12" t="s">
        <v>319</v>
      </c>
      <c r="J74" s="12" t="s">
        <v>113</v>
      </c>
      <c r="K74" s="12" t="s">
        <v>4</v>
      </c>
      <c r="L74" s="12" t="s">
        <v>114</v>
      </c>
    </row>
    <row r="75" customFormat="false" ht="15" hidden="false" customHeight="false" outlineLevel="0" collapsed="false">
      <c r="A75" s="12" t="s">
        <v>275</v>
      </c>
      <c r="B75" s="12" t="s">
        <v>320</v>
      </c>
      <c r="C75" s="12" t="s">
        <v>321</v>
      </c>
      <c r="D75" s="13" t="s">
        <v>322</v>
      </c>
      <c r="E75" s="13" t="n">
        <v>0</v>
      </c>
      <c r="F75" s="13" t="n">
        <v>8</v>
      </c>
      <c r="G75" s="13" t="s">
        <v>151</v>
      </c>
      <c r="H75" s="13" t="n">
        <f aca="false">MOD(INT(HEX2DEC(G75)/2^E75),2^F75)</f>
        <v>3</v>
      </c>
      <c r="I75" s="12" t="s">
        <v>323</v>
      </c>
      <c r="J75" s="12" t="s">
        <v>324</v>
      </c>
      <c r="K75" s="12" t="s">
        <v>4</v>
      </c>
      <c r="L75" s="12" t="s">
        <v>114</v>
      </c>
    </row>
    <row r="76" customFormat="false" ht="15" hidden="false" customHeight="false" outlineLevel="0" collapsed="false">
      <c r="A76" s="12" t="s">
        <v>275</v>
      </c>
      <c r="B76" s="12" t="s">
        <v>325</v>
      </c>
      <c r="C76" s="12" t="s">
        <v>55</v>
      </c>
      <c r="D76" s="13" t="s">
        <v>55</v>
      </c>
      <c r="E76" s="13" t="s">
        <v>55</v>
      </c>
      <c r="F76" s="13" t="s">
        <v>55</v>
      </c>
      <c r="G76" s="13" t="s">
        <v>55</v>
      </c>
      <c r="H76" s="13" t="s">
        <v>55</v>
      </c>
      <c r="I76" s="12" t="s">
        <v>55</v>
      </c>
      <c r="J76" s="12" t="s">
        <v>55</v>
      </c>
      <c r="K76" s="12" t="s">
        <v>6</v>
      </c>
      <c r="L76" s="12" t="s">
        <v>326</v>
      </c>
    </row>
    <row r="77" customFormat="false" ht="15" hidden="false" customHeight="false" outlineLevel="0" collapsed="false">
      <c r="A77" s="12" t="s">
        <v>327</v>
      </c>
      <c r="B77" s="12" t="s">
        <v>328</v>
      </c>
      <c r="C77" s="12" t="s">
        <v>55</v>
      </c>
      <c r="D77" s="13" t="s">
        <v>55</v>
      </c>
      <c r="E77" s="13" t="s">
        <v>55</v>
      </c>
      <c r="F77" s="13" t="s">
        <v>55</v>
      </c>
      <c r="G77" s="13" t="s">
        <v>55</v>
      </c>
      <c r="H77" s="13" t="s">
        <v>55</v>
      </c>
      <c r="I77" s="12" t="s">
        <v>55</v>
      </c>
      <c r="J77" s="12" t="s">
        <v>55</v>
      </c>
      <c r="K77" s="12" t="s">
        <v>6</v>
      </c>
      <c r="L77" s="12" t="s">
        <v>329</v>
      </c>
    </row>
    <row r="78" customFormat="false" ht="15" hidden="false" customHeight="false" outlineLevel="0" collapsed="false">
      <c r="A78" s="12" t="s">
        <v>327</v>
      </c>
      <c r="B78" s="12" t="s">
        <v>330</v>
      </c>
      <c r="C78" s="12" t="s">
        <v>55</v>
      </c>
      <c r="D78" s="13" t="s">
        <v>55</v>
      </c>
      <c r="E78" s="13" t="s">
        <v>55</v>
      </c>
      <c r="F78" s="13" t="s">
        <v>55</v>
      </c>
      <c r="G78" s="13" t="s">
        <v>55</v>
      </c>
      <c r="H78" s="13" t="s">
        <v>55</v>
      </c>
      <c r="I78" s="12" t="s">
        <v>55</v>
      </c>
      <c r="J78" s="12" t="s">
        <v>55</v>
      </c>
      <c r="K78" s="12" t="s">
        <v>6</v>
      </c>
      <c r="L78" s="12" t="s">
        <v>331</v>
      </c>
    </row>
    <row r="79" customFormat="false" ht="15" hidden="false" customHeight="false" outlineLevel="0" collapsed="false">
      <c r="A79" s="12" t="s">
        <v>327</v>
      </c>
      <c r="B79" s="12" t="s">
        <v>332</v>
      </c>
      <c r="C79" s="12" t="s">
        <v>55</v>
      </c>
      <c r="D79" s="13" t="s">
        <v>55</v>
      </c>
      <c r="E79" s="13" t="s">
        <v>55</v>
      </c>
      <c r="F79" s="13" t="s">
        <v>55</v>
      </c>
      <c r="G79" s="13" t="s">
        <v>55</v>
      </c>
      <c r="H79" s="13" t="s">
        <v>55</v>
      </c>
      <c r="I79" s="12" t="s">
        <v>55</v>
      </c>
      <c r="J79" s="12" t="s">
        <v>55</v>
      </c>
      <c r="K79" s="12" t="s">
        <v>6</v>
      </c>
      <c r="L79" s="12" t="s">
        <v>333</v>
      </c>
    </row>
    <row r="80" customFormat="false" ht="15" hidden="false" customHeight="false" outlineLevel="0" collapsed="false">
      <c r="A80" s="12" t="s">
        <v>327</v>
      </c>
      <c r="B80" s="12" t="s">
        <v>334</v>
      </c>
      <c r="C80" s="12" t="s">
        <v>55</v>
      </c>
      <c r="D80" s="13" t="s">
        <v>55</v>
      </c>
      <c r="E80" s="13" t="s">
        <v>55</v>
      </c>
      <c r="F80" s="13" t="s">
        <v>55</v>
      </c>
      <c r="G80" s="13" t="s">
        <v>55</v>
      </c>
      <c r="H80" s="13" t="s">
        <v>55</v>
      </c>
      <c r="I80" s="12" t="s">
        <v>55</v>
      </c>
      <c r="J80" s="12" t="s">
        <v>55</v>
      </c>
      <c r="K80" s="12" t="s">
        <v>6</v>
      </c>
      <c r="L80" s="12" t="s">
        <v>335</v>
      </c>
    </row>
    <row r="81" customFormat="false" ht="15" hidden="false" customHeight="false" outlineLevel="0" collapsed="false">
      <c r="A81" s="12" t="s">
        <v>327</v>
      </c>
      <c r="B81" s="12" t="s">
        <v>336</v>
      </c>
      <c r="C81" s="12" t="s">
        <v>55</v>
      </c>
      <c r="D81" s="13" t="s">
        <v>55</v>
      </c>
      <c r="E81" s="13" t="s">
        <v>55</v>
      </c>
      <c r="F81" s="13" t="s">
        <v>55</v>
      </c>
      <c r="G81" s="13" t="s">
        <v>55</v>
      </c>
      <c r="H81" s="13" t="s">
        <v>55</v>
      </c>
      <c r="I81" s="12" t="s">
        <v>55</v>
      </c>
      <c r="J81" s="12" t="s">
        <v>55</v>
      </c>
      <c r="K81" s="12" t="s">
        <v>6</v>
      </c>
      <c r="L81" s="12" t="s">
        <v>337</v>
      </c>
    </row>
    <row r="82" customFormat="false" ht="23.85" hidden="false" customHeight="false" outlineLevel="0" collapsed="false">
      <c r="A82" s="12" t="s">
        <v>338</v>
      </c>
      <c r="B82" s="12" t="s">
        <v>339</v>
      </c>
      <c r="C82" s="12" t="s">
        <v>55</v>
      </c>
      <c r="D82" s="13" t="s">
        <v>55</v>
      </c>
      <c r="E82" s="13" t="s">
        <v>55</v>
      </c>
      <c r="F82" s="13" t="s">
        <v>55</v>
      </c>
      <c r="G82" s="13" t="s">
        <v>55</v>
      </c>
      <c r="H82" s="13" t="s">
        <v>55</v>
      </c>
      <c r="I82" s="12" t="s">
        <v>55</v>
      </c>
      <c r="J82" s="12" t="s">
        <v>55</v>
      </c>
      <c r="K82" s="12" t="s">
        <v>6</v>
      </c>
      <c r="L82" s="12" t="s">
        <v>340</v>
      </c>
    </row>
    <row r="83" customFormat="false" ht="15" hidden="false" customHeight="false" outlineLevel="0" collapsed="false">
      <c r="A83" s="12" t="s">
        <v>338</v>
      </c>
      <c r="B83" s="12" t="s">
        <v>341</v>
      </c>
      <c r="C83" s="12" t="s">
        <v>55</v>
      </c>
      <c r="D83" s="13" t="s">
        <v>55</v>
      </c>
      <c r="E83" s="13" t="s">
        <v>55</v>
      </c>
      <c r="F83" s="13" t="s">
        <v>55</v>
      </c>
      <c r="G83" s="13" t="s">
        <v>55</v>
      </c>
      <c r="H83" s="13" t="s">
        <v>55</v>
      </c>
      <c r="I83" s="12" t="s">
        <v>55</v>
      </c>
      <c r="J83" s="12" t="s">
        <v>55</v>
      </c>
      <c r="K83" s="12" t="s">
        <v>6</v>
      </c>
      <c r="L83" s="12" t="s">
        <v>342</v>
      </c>
    </row>
    <row r="84" customFormat="false" ht="15" hidden="false" customHeight="false" outlineLevel="0" collapsed="false">
      <c r="A84" s="12" t="s">
        <v>338</v>
      </c>
      <c r="B84" s="12" t="s">
        <v>343</v>
      </c>
      <c r="C84" s="12" t="s">
        <v>55</v>
      </c>
      <c r="D84" s="13" t="s">
        <v>55</v>
      </c>
      <c r="E84" s="13" t="s">
        <v>55</v>
      </c>
      <c r="F84" s="13" t="s">
        <v>55</v>
      </c>
      <c r="G84" s="13" t="s">
        <v>55</v>
      </c>
      <c r="H84" s="13" t="s">
        <v>55</v>
      </c>
      <c r="I84" s="12" t="s">
        <v>55</v>
      </c>
      <c r="J84" s="12" t="s">
        <v>55</v>
      </c>
      <c r="K84" s="12" t="s">
        <v>6</v>
      </c>
      <c r="L84" s="12" t="s">
        <v>342</v>
      </c>
    </row>
    <row r="85" customFormat="false" ht="15" hidden="false" customHeight="false" outlineLevel="0" collapsed="false">
      <c r="A85" s="12" t="s">
        <v>344</v>
      </c>
      <c r="B85" s="12" t="s">
        <v>344</v>
      </c>
      <c r="C85" s="12" t="s">
        <v>55</v>
      </c>
      <c r="D85" s="13" t="s">
        <v>55</v>
      </c>
      <c r="E85" s="13" t="s">
        <v>55</v>
      </c>
      <c r="F85" s="13" t="s">
        <v>55</v>
      </c>
      <c r="G85" s="13" t="s">
        <v>55</v>
      </c>
      <c r="H85" s="13" t="s">
        <v>55</v>
      </c>
      <c r="I85" s="12" t="s">
        <v>55</v>
      </c>
      <c r="J85" s="12" t="s">
        <v>55</v>
      </c>
      <c r="K85" s="12" t="s">
        <v>6</v>
      </c>
      <c r="L85" s="12" t="s">
        <v>345</v>
      </c>
    </row>
    <row r="86" customFormat="false" ht="15" hidden="false" customHeight="false" outlineLevel="0" collapsed="false">
      <c r="A86" s="12" t="s">
        <v>344</v>
      </c>
      <c r="B86" s="12" t="s">
        <v>346</v>
      </c>
      <c r="C86" s="12" t="s">
        <v>55</v>
      </c>
      <c r="D86" s="13" t="s">
        <v>55</v>
      </c>
      <c r="E86" s="13" t="s">
        <v>55</v>
      </c>
      <c r="F86" s="13" t="s">
        <v>55</v>
      </c>
      <c r="G86" s="13" t="s">
        <v>55</v>
      </c>
      <c r="H86" s="13" t="s">
        <v>55</v>
      </c>
      <c r="I86" s="12" t="s">
        <v>55</v>
      </c>
      <c r="J86" s="12" t="s">
        <v>55</v>
      </c>
      <c r="K86" s="12" t="s">
        <v>6</v>
      </c>
      <c r="L86" s="12" t="s">
        <v>347</v>
      </c>
    </row>
    <row r="87" customFormat="false" ht="15" hidden="false" customHeight="false" outlineLevel="0" collapsed="false">
      <c r="A87" s="12" t="s">
        <v>344</v>
      </c>
      <c r="B87" s="12" t="s">
        <v>348</v>
      </c>
      <c r="C87" s="12" t="s">
        <v>55</v>
      </c>
      <c r="D87" s="13" t="s">
        <v>55</v>
      </c>
      <c r="E87" s="13" t="s">
        <v>55</v>
      </c>
      <c r="F87" s="13" t="s">
        <v>55</v>
      </c>
      <c r="G87" s="13" t="s">
        <v>55</v>
      </c>
      <c r="H87" s="13" t="s">
        <v>55</v>
      </c>
      <c r="I87" s="12" t="s">
        <v>55</v>
      </c>
      <c r="J87" s="12" t="s">
        <v>55</v>
      </c>
      <c r="K87" s="12" t="s">
        <v>6</v>
      </c>
      <c r="L87" s="12" t="s">
        <v>347</v>
      </c>
    </row>
    <row r="88" customFormat="false" ht="15" hidden="false" customHeight="false" outlineLevel="0" collapsed="false">
      <c r="A88" s="12" t="s">
        <v>344</v>
      </c>
      <c r="B88" s="12" t="s">
        <v>245</v>
      </c>
      <c r="C88" s="12" t="s">
        <v>55</v>
      </c>
      <c r="D88" s="13" t="s">
        <v>55</v>
      </c>
      <c r="E88" s="13" t="s">
        <v>55</v>
      </c>
      <c r="F88" s="13" t="s">
        <v>55</v>
      </c>
      <c r="G88" s="13" t="s">
        <v>55</v>
      </c>
      <c r="H88" s="13" t="s">
        <v>55</v>
      </c>
      <c r="I88" s="12" t="s">
        <v>55</v>
      </c>
      <c r="J88" s="12" t="s">
        <v>55</v>
      </c>
      <c r="K88" s="12" t="s">
        <v>6</v>
      </c>
      <c r="L88" s="12" t="s">
        <v>349</v>
      </c>
    </row>
    <row r="89" customFormat="false" ht="15" hidden="false" customHeight="false" outlineLevel="0" collapsed="false">
      <c r="A89" s="12" t="s">
        <v>344</v>
      </c>
      <c r="B89" s="12" t="s">
        <v>350</v>
      </c>
      <c r="C89" s="12" t="s">
        <v>55</v>
      </c>
      <c r="D89" s="13" t="s">
        <v>55</v>
      </c>
      <c r="E89" s="13" t="s">
        <v>55</v>
      </c>
      <c r="F89" s="13" t="s">
        <v>55</v>
      </c>
      <c r="G89" s="13" t="s">
        <v>55</v>
      </c>
      <c r="H89" s="13" t="s">
        <v>55</v>
      </c>
      <c r="I89" s="12" t="s">
        <v>55</v>
      </c>
      <c r="J89" s="12" t="s">
        <v>55</v>
      </c>
      <c r="K89" s="12" t="s">
        <v>6</v>
      </c>
      <c r="L89" s="12" t="s">
        <v>351</v>
      </c>
    </row>
    <row r="90" customFormat="false" ht="15" hidden="false" customHeight="false" outlineLevel="0" collapsed="false">
      <c r="A90" s="12" t="s">
        <v>352</v>
      </c>
      <c r="B90" s="12" t="s">
        <v>353</v>
      </c>
      <c r="C90" s="12" t="s">
        <v>55</v>
      </c>
      <c r="D90" s="13" t="s">
        <v>55</v>
      </c>
      <c r="E90" s="13" t="s">
        <v>55</v>
      </c>
      <c r="F90" s="13" t="s">
        <v>55</v>
      </c>
      <c r="G90" s="13" t="s">
        <v>55</v>
      </c>
      <c r="H90" s="13" t="s">
        <v>55</v>
      </c>
      <c r="I90" s="12" t="s">
        <v>55</v>
      </c>
      <c r="J90" s="12" t="s">
        <v>55</v>
      </c>
      <c r="K90" s="12" t="s">
        <v>6</v>
      </c>
      <c r="L90" s="12" t="s">
        <v>354</v>
      </c>
    </row>
  </sheetData>
  <autoFilter ref="A4:L90"/>
  <mergeCells count="1">
    <mergeCell ref="A2:L2"/>
  </mergeCells>
  <conditionalFormatting sqref="K5:K90">
    <cfRule type="expression" priority="2" aboveAverage="0" equalAverage="0" bottom="0" percent="0" rank="0" text="" dxfId="7">
      <formula>K5="Match"</formula>
    </cfRule>
    <cfRule type="expression" priority="3" aboveAverage="0" equalAverage="0" bottom="0" percent="0" rank="0" text="" dxfId="8">
      <formula>K5="Differs"</formula>
    </cfRule>
    <cfRule type="expression" priority="4" aboveAverage="0" equalAverage="0" bottom="0" percent="0" rank="0" text="" dxfId="9">
      <formula>K5="Unverified"</formula>
    </cfRule>
    <cfRule type="expression" priority="5" aboveAverage="0" equalAverage="0" bottom="0" percent="0" rank="0" text="" dxfId="10">
      <formula>K5="Not compared"</formula>
    </cfRule>
  </conditionalFormatting>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I1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4" topLeftCell="B5" activePane="bottomRight" state="frozen"/>
      <selection pane="topLeft" activeCell="A1" activeCellId="0" sqref="A1"/>
      <selection pane="topRight" activeCell="B1" activeCellId="0" sqref="B1"/>
      <selection pane="bottomLeft" activeCell="A5" activeCellId="0" sqref="A5"/>
      <selection pane="bottomRight" activeCell="A1" activeCellId="0" sqref="A1"/>
    </sheetView>
  </sheetViews>
  <sheetFormatPr defaultColWidth="8.6796875" defaultRowHeight="15" zeroHeight="false" outlineLevelRow="0" outlineLevelCol="0"/>
  <cols>
    <col collapsed="false" customWidth="true" hidden="false" outlineLevel="0" max="1" min="1" style="0" width="28"/>
    <col collapsed="false" customWidth="true" hidden="false" outlineLevel="0" max="2" min="2" style="0" width="10"/>
    <col collapsed="false" customWidth="true" hidden="false" outlineLevel="0" max="3" min="3" style="0" width="30"/>
    <col collapsed="false" customWidth="true" hidden="false" outlineLevel="0" max="4" min="4" style="0" width="14"/>
    <col collapsed="false" customWidth="true" hidden="false" outlineLevel="0" max="5" min="5" style="0" width="18"/>
    <col collapsed="false" customWidth="true" hidden="false" outlineLevel="0" max="6" min="6" style="0" width="24"/>
    <col collapsed="false" customWidth="true" hidden="false" outlineLevel="0" max="7" min="7" style="0" width="12"/>
    <col collapsed="false" customWidth="true" hidden="false" outlineLevel="0" max="8" min="8" style="0" width="14"/>
    <col collapsed="false" customWidth="true" hidden="false" outlineLevel="0" max="9" min="9" style="0" width="58"/>
  </cols>
  <sheetData>
    <row r="1" customFormat="false" ht="17.35" hidden="false" customHeight="false" outlineLevel="0" collapsed="false">
      <c r="A1" s="9" t="s">
        <v>355</v>
      </c>
    </row>
    <row r="2" customFormat="false" ht="30" hidden="false" customHeight="true" outlineLevel="0" collapsed="false">
      <c r="A2" s="10" t="s">
        <v>356</v>
      </c>
      <c r="B2" s="10"/>
      <c r="C2" s="10"/>
      <c r="D2" s="10"/>
      <c r="E2" s="10"/>
      <c r="F2" s="10"/>
      <c r="G2" s="10"/>
      <c r="H2" s="10"/>
      <c r="I2" s="10"/>
    </row>
    <row r="4" customFormat="false" ht="23.85" hidden="false" customHeight="false" outlineLevel="0" collapsed="false">
      <c r="A4" s="11" t="s">
        <v>357</v>
      </c>
      <c r="B4" s="11" t="s">
        <v>358</v>
      </c>
      <c r="C4" s="11" t="s">
        <v>359</v>
      </c>
      <c r="D4" s="11" t="s">
        <v>360</v>
      </c>
      <c r="E4" s="11" t="s">
        <v>37</v>
      </c>
      <c r="F4" s="11" t="s">
        <v>361</v>
      </c>
      <c r="G4" s="11" t="s">
        <v>362</v>
      </c>
      <c r="H4" s="11" t="s">
        <v>363</v>
      </c>
      <c r="I4" s="11" t="s">
        <v>39</v>
      </c>
    </row>
    <row r="5" customFormat="false" ht="15" hidden="false" customHeight="false" outlineLevel="0" collapsed="false">
      <c r="A5" s="12" t="s">
        <v>282</v>
      </c>
      <c r="B5" s="13" t="n">
        <f aca="false">Comparison!H67</f>
        <v>22</v>
      </c>
      <c r="C5" s="12" t="s">
        <v>364</v>
      </c>
      <c r="D5" s="13" t="n">
        <f aca="false">IF(B5=0,"Off",B5*5+15)</f>
        <v>125</v>
      </c>
      <c r="E5" s="13" t="n">
        <v>120</v>
      </c>
      <c r="F5" s="12" t="s">
        <v>365</v>
      </c>
      <c r="G5" s="13" t="n">
        <f aca="false">(B5-1)*5+15</f>
        <v>120</v>
      </c>
      <c r="H5" s="13" t="str">
        <f aca="false">IF(G5=E5,"yes","no")</f>
        <v>yes</v>
      </c>
      <c r="I5" s="12" t="s">
        <v>366</v>
      </c>
    </row>
    <row r="6" customFormat="false" ht="15" hidden="false" customHeight="false" outlineLevel="0" collapsed="false">
      <c r="A6" s="12" t="s">
        <v>192</v>
      </c>
      <c r="B6" s="13" t="n">
        <f aca="false">Comparison!H41</f>
        <v>12</v>
      </c>
      <c r="C6" s="12" t="s">
        <v>367</v>
      </c>
      <c r="D6" s="13" t="n">
        <f aca="false">B6*30+300</f>
        <v>660</v>
      </c>
      <c r="E6" s="13" t="n">
        <v>630</v>
      </c>
      <c r="F6" s="12" t="s">
        <v>368</v>
      </c>
      <c r="G6" s="13" t="n">
        <f aca="false">(B6-1)*30+300</f>
        <v>630</v>
      </c>
      <c r="H6" s="13" t="str">
        <f aca="false">IF(G6=E6,"yes","no")</f>
        <v>yes</v>
      </c>
      <c r="I6" s="12" t="s">
        <v>369</v>
      </c>
    </row>
    <row r="7" customFormat="false" ht="23.85" hidden="false" customHeight="false" outlineLevel="0" collapsed="false">
      <c r="A7" s="12" t="s">
        <v>291</v>
      </c>
      <c r="B7" s="13" t="n">
        <f aca="false">Comparison!H69</f>
        <v>0</v>
      </c>
      <c r="C7" s="12" t="s">
        <v>370</v>
      </c>
      <c r="D7" s="13" t="str">
        <f aca="false">IF(B7=0,"Off",B7)</f>
        <v>Off</v>
      </c>
      <c r="E7" s="13" t="n">
        <v>1</v>
      </c>
      <c r="F7" s="12" t="s">
        <v>371</v>
      </c>
      <c r="G7" s="13" t="n">
        <f aca="false">B7+1</f>
        <v>1</v>
      </c>
      <c r="H7" s="13" t="str">
        <f aca="false">IF(G7=E7,"yes","no")</f>
        <v>yes</v>
      </c>
      <c r="I7" s="12" t="s">
        <v>372</v>
      </c>
    </row>
    <row r="8" customFormat="false" ht="15" hidden="false" customHeight="false" outlineLevel="0" collapsed="false">
      <c r="A8" s="12" t="s">
        <v>316</v>
      </c>
      <c r="B8" s="13" t="n">
        <f aca="false">Comparison!H74</f>
        <v>4</v>
      </c>
      <c r="C8" s="12" t="s">
        <v>373</v>
      </c>
      <c r="D8" s="13" t="n">
        <f aca="false">INT(B8*10/5)+1</f>
        <v>9</v>
      </c>
      <c r="E8" s="13" t="n">
        <v>5</v>
      </c>
      <c r="F8" s="12" t="s">
        <v>371</v>
      </c>
      <c r="G8" s="13" t="n">
        <f aca="false">B8+1</f>
        <v>5</v>
      </c>
      <c r="H8" s="13" t="str">
        <f aca="false">IF(G8=E8,"yes","no")</f>
        <v>yes</v>
      </c>
      <c r="I8" s="12" t="s">
        <v>374</v>
      </c>
    </row>
    <row r="9" customFormat="false" ht="15" hidden="false" customHeight="false" outlineLevel="0" collapsed="false">
      <c r="A9" s="12" t="s">
        <v>320</v>
      </c>
      <c r="B9" s="13" t="n">
        <f aca="false">Comparison!H75</f>
        <v>3</v>
      </c>
      <c r="C9" s="12" t="s">
        <v>373</v>
      </c>
      <c r="D9" s="13" t="n">
        <f aca="false">INT(B9*10/5)+1</f>
        <v>7</v>
      </c>
      <c r="E9" s="13" t="n">
        <v>4</v>
      </c>
      <c r="F9" s="12" t="s">
        <v>371</v>
      </c>
      <c r="G9" s="13" t="n">
        <f aca="false">B9+1</f>
        <v>4</v>
      </c>
      <c r="H9" s="13" t="str">
        <f aca="false">IF(G9=E9,"yes","no")</f>
        <v>yes</v>
      </c>
      <c r="I9" s="12" t="s">
        <v>375</v>
      </c>
    </row>
    <row r="10" customFormat="false" ht="15" hidden="false" customHeight="false" outlineLevel="0" collapsed="false">
      <c r="A10" s="12" t="s">
        <v>108</v>
      </c>
      <c r="B10" s="13" t="n">
        <f aca="false">Comparison!H24</f>
        <v>4</v>
      </c>
      <c r="C10" s="12" t="s">
        <v>376</v>
      </c>
      <c r="D10" s="13" t="n">
        <f aca="false">INT(B10*10/5)</f>
        <v>8</v>
      </c>
      <c r="E10" s="13" t="n">
        <v>5</v>
      </c>
      <c r="F10" s="12" t="s">
        <v>371</v>
      </c>
      <c r="G10" s="13" t="n">
        <f aca="false">B10+1</f>
        <v>5</v>
      </c>
      <c r="H10" s="13" t="str">
        <f aca="false">IF(G10=E10,"yes","no")</f>
        <v>yes</v>
      </c>
      <c r="I10" s="12" t="s">
        <v>377</v>
      </c>
    </row>
    <row r="11" customFormat="false" ht="15" hidden="false" customHeight="false" outlineLevel="0" collapsed="false">
      <c r="A11" s="12" t="s">
        <v>378</v>
      </c>
      <c r="B11" s="13" t="n">
        <f aca="false">Comparison!H35</f>
        <v>20</v>
      </c>
      <c r="C11" s="12" t="s">
        <v>379</v>
      </c>
      <c r="D11" s="13" t="n">
        <f aca="false">B11-11</f>
        <v>9</v>
      </c>
      <c r="E11" s="13" t="n">
        <v>8</v>
      </c>
      <c r="F11" s="12" t="s">
        <v>380</v>
      </c>
      <c r="G11" s="13" t="n">
        <f aca="false">B11-12</f>
        <v>8</v>
      </c>
      <c r="H11" s="13" t="str">
        <f aca="false">IF(G11=E11,"yes","no")</f>
        <v>yes</v>
      </c>
      <c r="I11" s="12" t="s">
        <v>381</v>
      </c>
    </row>
    <row r="13" customFormat="false" ht="15" hidden="false" customHeight="false" outlineLevel="0" collapsed="false">
      <c r="A13" s="3" t="s">
        <v>382</v>
      </c>
    </row>
    <row r="14" customFormat="false" ht="23.85" hidden="false" customHeight="false" outlineLevel="0" collapsed="false">
      <c r="A14" s="11" t="s">
        <v>357</v>
      </c>
      <c r="B14" s="11" t="s">
        <v>358</v>
      </c>
      <c r="C14" s="11" t="s">
        <v>36</v>
      </c>
      <c r="D14" s="11" t="s">
        <v>37</v>
      </c>
      <c r="E14" s="11" t="s">
        <v>39</v>
      </c>
    </row>
    <row r="15" customFormat="false" ht="23.85" hidden="false" customHeight="false" outlineLevel="0" collapsed="false">
      <c r="A15" s="12" t="s">
        <v>155</v>
      </c>
      <c r="B15" s="13" t="n">
        <f aca="false">Comparison!H33</f>
        <v>1</v>
      </c>
      <c r="C15" s="12" t="s">
        <v>383</v>
      </c>
      <c r="D15" s="12" t="s">
        <v>76</v>
      </c>
      <c r="E15" s="12" t="s">
        <v>384</v>
      </c>
      <c r="F15" s="12"/>
      <c r="G15" s="12"/>
      <c r="H15" s="12"/>
      <c r="I15" s="12"/>
    </row>
    <row r="16" customFormat="false" ht="46.25" hidden="false" customHeight="false" outlineLevel="0" collapsed="false">
      <c r="A16" s="12" t="s">
        <v>159</v>
      </c>
      <c r="B16" s="13" t="n">
        <f aca="false">Comparison!H34</f>
        <v>1</v>
      </c>
      <c r="C16" s="12" t="s">
        <v>161</v>
      </c>
      <c r="D16" s="12" t="s">
        <v>162</v>
      </c>
      <c r="E16" s="12" t="s">
        <v>385</v>
      </c>
      <c r="F16" s="12"/>
      <c r="G16" s="12"/>
      <c r="H16" s="12"/>
      <c r="I16" s="12"/>
    </row>
    <row r="17" customFormat="false" ht="46.25" hidden="false" customHeight="false" outlineLevel="0" collapsed="false">
      <c r="A17" s="12" t="s">
        <v>250</v>
      </c>
      <c r="B17" s="13" t="n">
        <f aca="false">Comparison!H58</f>
        <v>1</v>
      </c>
      <c r="C17" s="12" t="s">
        <v>252</v>
      </c>
      <c r="D17" s="12" t="s">
        <v>253</v>
      </c>
      <c r="E17" s="12" t="s">
        <v>386</v>
      </c>
      <c r="F17" s="12"/>
      <c r="G17" s="12"/>
      <c r="H17" s="12"/>
      <c r="I17" s="12"/>
    </row>
    <row r="18" customFormat="false" ht="23.85" hidden="false" customHeight="false" outlineLevel="0" collapsed="false">
      <c r="A18" s="12" t="s">
        <v>254</v>
      </c>
      <c r="B18" s="13" t="n">
        <f aca="false">Comparison!H59</f>
        <v>1</v>
      </c>
      <c r="C18" s="12" t="s">
        <v>252</v>
      </c>
      <c r="D18" s="12" t="s">
        <v>253</v>
      </c>
      <c r="E18" s="12" t="s">
        <v>387</v>
      </c>
      <c r="F18" s="12"/>
      <c r="G18" s="12"/>
      <c r="H18" s="12"/>
      <c r="I18" s="12"/>
    </row>
    <row r="19" customFormat="false" ht="35.05" hidden="false" customHeight="false" outlineLevel="0" collapsed="false">
      <c r="A19" s="12" t="s">
        <v>262</v>
      </c>
      <c r="B19" s="13" t="n">
        <f aca="false">Comparison!H62</f>
        <v>1</v>
      </c>
      <c r="C19" s="12" t="s">
        <v>264</v>
      </c>
      <c r="D19" s="12" t="s">
        <v>265</v>
      </c>
      <c r="E19" s="12" t="s">
        <v>388</v>
      </c>
      <c r="F19" s="12"/>
      <c r="G19" s="12"/>
      <c r="H19" s="12"/>
      <c r="I19" s="12"/>
    </row>
  </sheetData>
  <mergeCells count="1">
    <mergeCell ref="A2:I2"/>
  </mergeCells>
  <conditionalFormatting sqref="H5:H11">
    <cfRule type="expression" priority="2" aboveAverage="0" equalAverage="0" bottom="0" percent="0" rank="0" text="" dxfId="7">
      <formula>H5="yes"</formula>
    </cfRule>
    <cfRule type="expression" priority="3" aboveAverage="0" equalAverage="0" bottom="0" percent="0" rank="0" text="" dxfId="8">
      <formula>H5="no"</formula>
    </cfRule>
  </conditionalFormatting>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1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40"/>
    <col collapsed="false" customWidth="true" hidden="false" outlineLevel="0" max="3" min="2" style="0" width="20"/>
    <col collapsed="false" customWidth="true" hidden="false" outlineLevel="0" max="4" min="4" style="0" width="24"/>
    <col collapsed="false" customWidth="true" hidden="false" outlineLevel="0" max="5" min="5" style="0" width="10"/>
  </cols>
  <sheetData>
    <row r="1" customFormat="false" ht="17.35" hidden="false" customHeight="false" outlineLevel="0" collapsed="false">
      <c r="A1" s="9" t="s">
        <v>389</v>
      </c>
    </row>
    <row r="2" customFormat="false" ht="15" hidden="false" customHeight="false" outlineLevel="0" collapsed="false">
      <c r="A2" s="14" t="s">
        <v>390</v>
      </c>
      <c r="B2" s="14"/>
      <c r="C2" s="14"/>
      <c r="D2" s="14"/>
      <c r="E2" s="14"/>
    </row>
    <row r="4" customFormat="false" ht="15" hidden="false" customHeight="false" outlineLevel="0" collapsed="false">
      <c r="A4" s="11" t="s">
        <v>357</v>
      </c>
      <c r="B4" s="11" t="s">
        <v>391</v>
      </c>
      <c r="C4" s="11" t="s">
        <v>392</v>
      </c>
      <c r="D4" s="11" t="s">
        <v>393</v>
      </c>
      <c r="E4" s="11" t="s">
        <v>394</v>
      </c>
    </row>
    <row r="5" customFormat="false" ht="15" hidden="false" customHeight="false" outlineLevel="0" collapsed="false">
      <c r="A5" s="15" t="s">
        <v>395</v>
      </c>
      <c r="B5" s="13" t="n">
        <v>0</v>
      </c>
      <c r="C5" s="13" t="n">
        <f aca="false">INT(B5*10/5)+1</f>
        <v>1</v>
      </c>
      <c r="D5" s="13" t="n">
        <f aca="false">INT((C5-1)*5/10)</f>
        <v>0</v>
      </c>
      <c r="E5" s="13" t="str">
        <f aca="false">IF(D5=B5,"yes","no")</f>
        <v>yes</v>
      </c>
    </row>
    <row r="6" customFormat="false" ht="15" hidden="false" customHeight="false" outlineLevel="0" collapsed="false">
      <c r="A6" s="15" t="s">
        <v>395</v>
      </c>
      <c r="B6" s="13" t="n">
        <v>1</v>
      </c>
      <c r="C6" s="13" t="n">
        <f aca="false">INT(B6*10/5)+1</f>
        <v>3</v>
      </c>
      <c r="D6" s="13" t="n">
        <f aca="false">INT((C6-1)*5/10)</f>
        <v>1</v>
      </c>
      <c r="E6" s="13" t="str">
        <f aca="false">IF(D6=B6,"yes","no")</f>
        <v>yes</v>
      </c>
    </row>
    <row r="7" customFormat="false" ht="15" hidden="false" customHeight="false" outlineLevel="0" collapsed="false">
      <c r="A7" s="15" t="s">
        <v>395</v>
      </c>
      <c r="B7" s="13" t="n">
        <v>2</v>
      </c>
      <c r="C7" s="13" t="n">
        <f aca="false">INT(B7*10/5)+1</f>
        <v>5</v>
      </c>
      <c r="D7" s="13" t="n">
        <f aca="false">INT((C7-1)*5/10)</f>
        <v>2</v>
      </c>
      <c r="E7" s="13" t="str">
        <f aca="false">IF(D7=B7,"yes","no")</f>
        <v>yes</v>
      </c>
    </row>
    <row r="8" customFormat="false" ht="15" hidden="false" customHeight="false" outlineLevel="0" collapsed="false">
      <c r="A8" s="15" t="s">
        <v>395</v>
      </c>
      <c r="B8" s="13" t="n">
        <v>3</v>
      </c>
      <c r="C8" s="13" t="n">
        <f aca="false">INT(B8*10/5)+1</f>
        <v>7</v>
      </c>
      <c r="D8" s="13" t="n">
        <f aca="false">INT((C8-1)*5/10)</f>
        <v>3</v>
      </c>
      <c r="E8" s="13" t="str">
        <f aca="false">IF(D8=B8,"yes","no")</f>
        <v>yes</v>
      </c>
    </row>
    <row r="9" customFormat="false" ht="15" hidden="false" customHeight="false" outlineLevel="0" collapsed="false">
      <c r="A9" s="15" t="s">
        <v>395</v>
      </c>
      <c r="B9" s="13" t="n">
        <v>4</v>
      </c>
      <c r="C9" s="13" t="n">
        <f aca="false">INT(B9*10/5)+1</f>
        <v>9</v>
      </c>
      <c r="D9" s="13" t="n">
        <f aca="false">INT((C9-1)*5/10)</f>
        <v>4</v>
      </c>
      <c r="E9" s="13" t="str">
        <f aca="false">IF(D9=B9,"yes","no")</f>
        <v>yes</v>
      </c>
    </row>
    <row r="10" customFormat="false" ht="15" hidden="false" customHeight="false" outlineLevel="0" collapsed="false">
      <c r="A10" s="15" t="s">
        <v>396</v>
      </c>
      <c r="B10" s="13" t="n">
        <v>1</v>
      </c>
      <c r="C10" s="13" t="n">
        <f aca="false">INT((B10-1)*10/5)+1</f>
        <v>1</v>
      </c>
      <c r="D10" s="13" t="n">
        <f aca="false">INT((C10-1)*5/10)+1</f>
        <v>1</v>
      </c>
      <c r="E10" s="13" t="str">
        <f aca="false">IF(D10=B10,"yes","no")</f>
        <v>yes</v>
      </c>
    </row>
    <row r="11" customFormat="false" ht="15" hidden="false" customHeight="false" outlineLevel="0" collapsed="false">
      <c r="A11" s="15" t="s">
        <v>396</v>
      </c>
      <c r="B11" s="13" t="n">
        <v>2</v>
      </c>
      <c r="C11" s="13" t="n">
        <f aca="false">INT((B11-1)*10/5)+1</f>
        <v>3</v>
      </c>
      <c r="D11" s="13" t="n">
        <f aca="false">INT((C11-1)*5/10)+1</f>
        <v>2</v>
      </c>
      <c r="E11" s="13" t="str">
        <f aca="false">IF(D11=B11,"yes","no")</f>
        <v>yes</v>
      </c>
    </row>
    <row r="12" customFormat="false" ht="15" hidden="false" customHeight="false" outlineLevel="0" collapsed="false">
      <c r="A12" s="15" t="s">
        <v>396</v>
      </c>
      <c r="B12" s="13" t="n">
        <v>3</v>
      </c>
      <c r="C12" s="13" t="n">
        <f aca="false">INT((B12-1)*10/5)+1</f>
        <v>5</v>
      </c>
      <c r="D12" s="13" t="n">
        <f aca="false">INT((C12-1)*5/10)+1</f>
        <v>3</v>
      </c>
      <c r="E12" s="13" t="str">
        <f aca="false">IF(D12=B12,"yes","no")</f>
        <v>yes</v>
      </c>
    </row>
    <row r="13" customFormat="false" ht="15" hidden="false" customHeight="false" outlineLevel="0" collapsed="false">
      <c r="A13" s="15" t="s">
        <v>396</v>
      </c>
      <c r="B13" s="13" t="n">
        <v>4</v>
      </c>
      <c r="C13" s="13" t="n">
        <f aca="false">INT((B13-1)*10/5)+1</f>
        <v>7</v>
      </c>
      <c r="D13" s="13" t="n">
        <f aca="false">INT((C13-1)*5/10)+1</f>
        <v>4</v>
      </c>
      <c r="E13" s="13" t="str">
        <f aca="false">IF(D13=B13,"yes","no")</f>
        <v>yes</v>
      </c>
    </row>
    <row r="14" customFormat="false" ht="15" hidden="false" customHeight="false" outlineLevel="0" collapsed="false">
      <c r="A14" s="15" t="s">
        <v>396</v>
      </c>
      <c r="B14" s="13" t="n">
        <v>5</v>
      </c>
      <c r="C14" s="13" t="n">
        <f aca="false">INT((B14-1)*10/5)+1</f>
        <v>9</v>
      </c>
      <c r="D14" s="13" t="n">
        <f aca="false">INT((C14-1)*5/10)+1</f>
        <v>5</v>
      </c>
      <c r="E14" s="13" t="str">
        <f aca="false">IF(D14=B14,"yes","no")</f>
        <v>yes</v>
      </c>
    </row>
    <row r="15" customFormat="false" ht="15" hidden="false" customHeight="false" outlineLevel="0" collapsed="false">
      <c r="A15" s="15" t="s">
        <v>397</v>
      </c>
      <c r="B15" s="13" t="n">
        <f aca="false">Comparison!H67</f>
        <v>22</v>
      </c>
      <c r="C15" s="13" t="n">
        <f aca="false">B15*5+15</f>
        <v>125</v>
      </c>
      <c r="D15" s="13" t="n">
        <f aca="false">(C15-15)/5</f>
        <v>22</v>
      </c>
      <c r="E15" s="13" t="str">
        <f aca="false">IF(D15=B15,"yes","no")</f>
        <v>yes</v>
      </c>
    </row>
    <row r="17" customFormat="false" ht="15" hidden="false" customHeight="false" outlineLevel="0" collapsed="false">
      <c r="A17" s="2" t="s">
        <v>398</v>
      </c>
    </row>
  </sheetData>
  <mergeCells count="1">
    <mergeCell ref="A2:E2"/>
  </mergeCells>
  <conditionalFormatting sqref="E5:E15">
    <cfRule type="expression" priority="2" aboveAverage="0" equalAverage="0" bottom="0" percent="0" rank="0" text="" dxfId="7">
      <formula>E5="yes"</formula>
    </cfRule>
    <cfRule type="expression" priority="3" aboveAverage="0" equalAverage="0" bottom="0" percent="0" rank="0" text="" dxfId="8">
      <formula>E5="no"</formula>
    </cfRule>
  </conditionalFormatting>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2026-10-03T03:13:14Z</dcterms:created>
  <dc:creator>openpyxl</dc:creator>
  <dc:description/>
  <dc:language>en-US</dc:language>
  <cp:lastModifiedBy/>
  <dcterms:modified xsi:type="dcterms:W3CDTF">2026-10-03T03:13:14Z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